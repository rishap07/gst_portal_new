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stn\offline utility\final\new\"/>
    </mc:Choice>
  </mc:AlternateContent>
  <bookViews>
    <workbookView xWindow="0" yWindow="0" windowWidth="19200" windowHeight="7300" activeTab="2"/>
  </bookViews>
  <sheets>
    <sheet name="MasterData" sheetId="1" r:id="rId1"/>
    <sheet name="MasterSheet" sheetId="2" r:id="rId2"/>
    <sheet name="Dashboard" sheetId="3" r:id="rId3"/>
    <sheet name="Invoice" sheetId="4" r:id="rId4"/>
    <sheet name="GSTR1" sheetId="5" r:id="rId5"/>
    <sheet name="Ruoghwork" sheetId="7" state="hidden" r:id="rId6"/>
  </sheets>
  <calcPr calcId="152511"/>
</workbook>
</file>

<file path=xl/calcChain.xml><?xml version="1.0" encoding="utf-8"?>
<calcChain xmlns="http://schemas.openxmlformats.org/spreadsheetml/2006/main">
  <c r="G10" i="4" l="1"/>
  <c r="G9" i="4"/>
  <c r="F33" i="4" s="1"/>
  <c r="F34" i="4"/>
  <c r="S26" i="4" l="1"/>
  <c r="Q26" i="4"/>
  <c r="O26" i="4"/>
  <c r="M26" i="4"/>
  <c r="H26" i="4"/>
  <c r="K26" i="4" s="1"/>
  <c r="E26" i="4"/>
  <c r="T26" i="4" l="1"/>
  <c r="P26" i="4"/>
  <c r="R26" i="4"/>
  <c r="N26" i="4"/>
  <c r="I26" i="4" l="1"/>
  <c r="E24" i="4" l="1"/>
  <c r="E22" i="4" l="1"/>
  <c r="E23" i="4"/>
  <c r="B4" i="4" l="1"/>
  <c r="Q17" i="4"/>
  <c r="Q16" i="4"/>
  <c r="Q15" i="4"/>
  <c r="Q14" i="4"/>
  <c r="G17" i="4"/>
  <c r="G16" i="4"/>
  <c r="G15" i="4"/>
  <c r="G14" i="4"/>
  <c r="G8" i="4"/>
  <c r="G7" i="4"/>
  <c r="S23" i="4"/>
  <c r="S24" i="4"/>
  <c r="S25" i="4"/>
  <c r="S22" i="4"/>
  <c r="Q23" i="4"/>
  <c r="Q24" i="4"/>
  <c r="Q25" i="4"/>
  <c r="Q22" i="4"/>
  <c r="O23" i="4"/>
  <c r="O24" i="4"/>
  <c r="O25" i="4"/>
  <c r="O22" i="4"/>
  <c r="M23" i="4"/>
  <c r="M24" i="4"/>
  <c r="M25" i="4"/>
  <c r="M22" i="4"/>
  <c r="H25" i="4"/>
  <c r="K25" i="4" s="1"/>
  <c r="H24" i="4"/>
  <c r="K24" i="4" s="1"/>
  <c r="H23" i="4"/>
  <c r="K23" i="4" s="1"/>
  <c r="H22" i="4"/>
  <c r="K22" i="4" s="1"/>
  <c r="E25" i="4"/>
  <c r="N22" i="4" l="1"/>
  <c r="N24" i="4"/>
  <c r="N23" i="4"/>
  <c r="P24" i="4"/>
  <c r="R25" i="4"/>
  <c r="P25" i="4"/>
  <c r="T22" i="4"/>
  <c r="T23" i="4"/>
  <c r="N25" i="4"/>
  <c r="R22" i="4"/>
  <c r="R23" i="4"/>
  <c r="T24" i="4"/>
  <c r="P22" i="4"/>
  <c r="P23" i="4"/>
  <c r="R24" i="4"/>
  <c r="T25" i="4"/>
  <c r="M27" i="4"/>
  <c r="O27" i="4"/>
  <c r="L27" i="4"/>
  <c r="K27" i="4"/>
  <c r="I22" i="4" l="1"/>
  <c r="Q27" i="4"/>
  <c r="N27" i="4"/>
  <c r="I25" i="4" l="1"/>
  <c r="I24" i="4"/>
  <c r="P27" i="4"/>
  <c r="T27" i="4"/>
  <c r="R27" i="4"/>
  <c r="S27" i="4"/>
  <c r="M28" i="4" l="1"/>
  <c r="I23" i="4"/>
  <c r="I27" i="4" l="1"/>
</calcChain>
</file>

<file path=xl/sharedStrings.xml><?xml version="1.0" encoding="utf-8"?>
<sst xmlns="http://schemas.openxmlformats.org/spreadsheetml/2006/main" count="219" uniqueCount="128">
  <si>
    <t>GSTIN</t>
  </si>
  <si>
    <t>Name</t>
  </si>
  <si>
    <t>Address</t>
  </si>
  <si>
    <t>Receiver</t>
  </si>
  <si>
    <t>Supplier</t>
  </si>
  <si>
    <t>State</t>
  </si>
  <si>
    <t>State Code</t>
  </si>
  <si>
    <t>Item</t>
  </si>
  <si>
    <t>HSN Code</t>
  </si>
  <si>
    <t>UIN</t>
  </si>
  <si>
    <t>Invoice Number</t>
  </si>
  <si>
    <t>Invoice date</t>
  </si>
  <si>
    <t>Total Invoice Value</t>
  </si>
  <si>
    <t>Supply Type</t>
  </si>
  <si>
    <t>POS</t>
  </si>
  <si>
    <t>Reverse Charge</t>
  </si>
  <si>
    <t>Prv.Amnt</t>
  </si>
  <si>
    <t>Category</t>
  </si>
  <si>
    <t>HSN/SAC of Supply</t>
  </si>
  <si>
    <t>Total Taxable Value</t>
  </si>
  <si>
    <t>IGST Rate</t>
  </si>
  <si>
    <t>IGST Amount</t>
  </si>
  <si>
    <t>CESS Rate</t>
  </si>
  <si>
    <t>CESS Amount</t>
  </si>
  <si>
    <t>CGST Rate</t>
  </si>
  <si>
    <t>CGST Amount</t>
  </si>
  <si>
    <t>SGST Rate</t>
  </si>
  <si>
    <t>SGST Amount</t>
  </si>
  <si>
    <t>Add Receiver</t>
  </si>
  <si>
    <t>Add Supplier</t>
  </si>
  <si>
    <t>Details of Receiver (Billed to)</t>
  </si>
  <si>
    <t>Details of Consignee (Shipped to)</t>
  </si>
  <si>
    <t>Total</t>
  </si>
  <si>
    <t>Item No.</t>
  </si>
  <si>
    <r>
      <rPr>
        <b/>
        <sz val="8"/>
        <color rgb="FFFF0000"/>
        <rFont val="Calibri"/>
        <family val="2"/>
        <scheme val="minor"/>
      </rPr>
      <t>*</t>
    </r>
    <r>
      <rPr>
        <b/>
        <sz val="8"/>
        <rFont val="Calibri"/>
        <family val="2"/>
        <scheme val="minor"/>
      </rPr>
      <t>HSN/SAC</t>
    </r>
  </si>
  <si>
    <t>CGST</t>
  </si>
  <si>
    <t>SGST</t>
  </si>
  <si>
    <t>CESS</t>
  </si>
  <si>
    <t>Rate (%)</t>
  </si>
  <si>
    <t>Amt</t>
  </si>
  <si>
    <t>3. Address:</t>
  </si>
  <si>
    <t>4. Serial No. of Invoice:</t>
  </si>
  <si>
    <t>5. Date of Invoice:</t>
  </si>
  <si>
    <t>Name:</t>
  </si>
  <si>
    <t>Address:</t>
  </si>
  <si>
    <t>State:</t>
  </si>
  <si>
    <t>State Code:</t>
  </si>
  <si>
    <t>GSTIN/Unique ID:</t>
  </si>
  <si>
    <t>Description of Goods</t>
  </si>
  <si>
    <t>Rate(Per Unit)</t>
  </si>
  <si>
    <t>Taxable Value</t>
  </si>
  <si>
    <t>Discount</t>
  </si>
  <si>
    <t>Declaration:</t>
  </si>
  <si>
    <t>Freight:(a)</t>
  </si>
  <si>
    <t>Insurance:(b)</t>
  </si>
  <si>
    <t>Packing and Forwarding Charges:(c)</t>
  </si>
  <si>
    <t>(a)+(b)+(c)</t>
  </si>
  <si>
    <t>Total Invoice Value (In Words):</t>
  </si>
  <si>
    <t>Amount of Tax subject to Reverse Charges:</t>
  </si>
  <si>
    <t>Name of the Signatory:</t>
  </si>
  <si>
    <t>Designation/ Status:</t>
  </si>
  <si>
    <t>IGST</t>
  </si>
  <si>
    <t>Electronic Reference Number-</t>
  </si>
  <si>
    <t xml:space="preserve"> Date:</t>
  </si>
  <si>
    <t>IGST Tax Rate</t>
  </si>
  <si>
    <t>CSGT Tax Rate</t>
  </si>
  <si>
    <t>SGST Tax Rate</t>
  </si>
  <si>
    <t>Edit/Delete Receiver</t>
  </si>
  <si>
    <t xml:space="preserve"> Edit/Delete Supplier</t>
  </si>
  <si>
    <t>Edit/Delete Item</t>
  </si>
  <si>
    <t>Car</t>
  </si>
  <si>
    <t>Parel</t>
  </si>
  <si>
    <t>Maharashtra</t>
  </si>
  <si>
    <t>Qty</t>
  </si>
  <si>
    <t>Unit</t>
  </si>
  <si>
    <t>Bike</t>
  </si>
  <si>
    <t>Cycle</t>
  </si>
  <si>
    <t>Tyre</t>
  </si>
  <si>
    <t>Unit Rate</t>
  </si>
  <si>
    <t xml:space="preserve">  </t>
  </si>
  <si>
    <t>2. GSTIN:</t>
  </si>
  <si>
    <t>1. Name:</t>
  </si>
  <si>
    <t>Cess Tax Rate</t>
  </si>
  <si>
    <t>Select Invoice Type</t>
  </si>
  <si>
    <t>Supplier Name</t>
  </si>
  <si>
    <t>Receiver Name</t>
  </si>
  <si>
    <t>Consignee Name</t>
  </si>
  <si>
    <t xml:space="preserve"> Serial No. of Invoice</t>
  </si>
  <si>
    <t>Electronic Reference Number</t>
  </si>
  <si>
    <t>Other Details</t>
  </si>
  <si>
    <t>Invoice type</t>
  </si>
  <si>
    <t>Total Invoice Value (In figure ₨):</t>
  </si>
  <si>
    <t>New Delhi</t>
  </si>
  <si>
    <t>Delhi</t>
  </si>
  <si>
    <t>Laptop</t>
  </si>
  <si>
    <t>B2B</t>
  </si>
  <si>
    <t>IGST Tax Rate (%)</t>
  </si>
  <si>
    <t>CSGT Tax Rate (%)</t>
  </si>
  <si>
    <t>SGST Tax Rate (%)</t>
  </si>
  <si>
    <t>Cess Tax Rate (%)</t>
  </si>
  <si>
    <r>
      <t>Unit Rate (</t>
    </r>
    <r>
      <rPr>
        <sz val="11"/>
        <color theme="1"/>
        <rFont val="Calibri"/>
        <family val="2"/>
      </rPr>
      <t>₨)</t>
    </r>
  </si>
  <si>
    <t>Unit Rate (₨)</t>
  </si>
  <si>
    <t>Nalasopara</t>
  </si>
  <si>
    <t>Nagaland</t>
  </si>
  <si>
    <t>ToothPaste</t>
  </si>
  <si>
    <t>Siddesh And Co</t>
  </si>
  <si>
    <t>Manipur</t>
  </si>
  <si>
    <t>Sanjay &amp; Co</t>
  </si>
  <si>
    <t>Saurabh Traders</t>
  </si>
  <si>
    <t xml:space="preserve"> </t>
  </si>
  <si>
    <t>27ABCDE1234E1Z4</t>
  </si>
  <si>
    <t>27ABCDE1234E1Z5</t>
  </si>
  <si>
    <t>Worli</t>
  </si>
  <si>
    <t>Rakesh Corp</t>
  </si>
  <si>
    <t>07ABCDE11254X1Z3</t>
  </si>
  <si>
    <t>ABC corp</t>
  </si>
  <si>
    <t>13ABCDE1234E1Z8</t>
  </si>
  <si>
    <t>Sagar &amp; Co</t>
  </si>
  <si>
    <t>Nishi Traders</t>
  </si>
  <si>
    <t>Rajesh Transport</t>
  </si>
  <si>
    <t>Sandeep oil traders</t>
  </si>
  <si>
    <t>07ERDSF3241S1Z4</t>
  </si>
  <si>
    <t>14ADBEE1234E1Z8</t>
  </si>
  <si>
    <t>Imphal</t>
  </si>
  <si>
    <t>GSTR1 Offline Utility Dashboard</t>
  </si>
  <si>
    <t>07ADVCF1342R1ZE</t>
  </si>
  <si>
    <t>GSTN</t>
  </si>
  <si>
    <t>GSTR1 - B2B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</si>
</sst>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dd\-mm\-yyyy;@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name val="Arial"/>
      <family val="2"/>
    </font>
    <font>
      <sz val="18"/>
      <color theme="1"/>
      <name val="Maiandra GD"/>
      <family val="2"/>
    </font>
    <font>
      <b/>
      <sz val="16"/>
      <color rgb="FFFF0000"/>
      <name val="Calibri"/>
      <family val="2"/>
      <scheme val="minor"/>
    </font>
    <font>
      <sz val="11"/>
      <color theme="1"/>
      <name val="Calibri"/>
      <family val="2"/>
    </font>
    <font>
      <sz val="8"/>
      <color rgb="FF000000"/>
      <name val="Tahoma"/>
      <family val="2"/>
    </font>
    <font>
      <b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0" fillId="0" borderId="0" xfId="0" applyBorder="1" applyAlignment="1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0" borderId="9" xfId="0" applyFont="1" applyBorder="1"/>
    <xf numFmtId="0" fontId="1" fillId="0" borderId="0" xfId="0" applyFont="1" applyBorder="1"/>
    <xf numFmtId="0" fontId="3" fillId="5" borderId="1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2" fontId="2" fillId="4" borderId="0" xfId="0" applyNumberFormat="1" applyFont="1" applyFill="1" applyBorder="1" applyAlignment="1" applyProtection="1">
      <alignment vertical="center"/>
      <protection locked="0"/>
    </xf>
    <xf numFmtId="1" fontId="2" fillId="4" borderId="0" xfId="0" applyNumberFormat="1" applyFont="1" applyFill="1" applyBorder="1" applyAlignment="1" applyProtection="1">
      <alignment vertical="center"/>
      <protection locked="0"/>
    </xf>
    <xf numFmtId="0" fontId="0" fillId="0" borderId="0" xfId="0" applyFill="1" applyBorder="1"/>
    <xf numFmtId="0" fontId="0" fillId="3" borderId="2" xfId="0" applyFill="1" applyBorder="1" applyAlignment="1">
      <alignment horizontal="center"/>
    </xf>
    <xf numFmtId="0" fontId="0" fillId="8" borderId="19" xfId="0" applyFill="1" applyBorder="1" applyAlignment="1"/>
    <xf numFmtId="0" fontId="0" fillId="8" borderId="4" xfId="0" applyFill="1" applyBorder="1" applyAlignment="1"/>
    <xf numFmtId="0" fontId="0" fillId="8" borderId="23" xfId="0" applyFill="1" applyBorder="1" applyAlignment="1">
      <alignment wrapText="1"/>
    </xf>
    <xf numFmtId="0" fontId="0" fillId="7" borderId="4" xfId="0" applyFill="1" applyBorder="1" applyAlignment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2" fillId="4" borderId="0" xfId="0" applyNumberFormat="1" applyFont="1" applyFill="1" applyBorder="1" applyAlignment="1" applyProtection="1">
      <alignment vertical="center"/>
      <protection locked="0"/>
    </xf>
    <xf numFmtId="0" fontId="5" fillId="6" borderId="26" xfId="0" applyFont="1" applyFill="1" applyBorder="1" applyAlignment="1">
      <alignment horizontal="center" vertical="center" wrapText="1"/>
    </xf>
    <xf numFmtId="0" fontId="5" fillId="6" borderId="27" xfId="0" applyFont="1" applyFill="1" applyBorder="1" applyAlignment="1">
      <alignment horizontal="center" vertical="center" wrapText="1"/>
    </xf>
    <xf numFmtId="1" fontId="2" fillId="4" borderId="38" xfId="0" applyNumberFormat="1" applyFont="1" applyFill="1" applyBorder="1" applyAlignment="1" applyProtection="1">
      <alignment vertical="center"/>
      <protection locked="0"/>
    </xf>
    <xf numFmtId="1" fontId="2" fillId="4" borderId="35" xfId="0" applyNumberFormat="1" applyFont="1" applyFill="1" applyBorder="1" applyAlignment="1" applyProtection="1">
      <alignment vertical="center"/>
      <protection locked="0"/>
    </xf>
    <xf numFmtId="0" fontId="2" fillId="4" borderId="0" xfId="0" applyNumberFormat="1" applyFont="1" applyFill="1" applyBorder="1" applyAlignment="1" applyProtection="1">
      <alignment vertical="center"/>
    </xf>
    <xf numFmtId="2" fontId="2" fillId="4" borderId="0" xfId="0" applyNumberFormat="1" applyFont="1" applyFill="1" applyBorder="1" applyAlignment="1" applyProtection="1">
      <alignment vertical="center"/>
    </xf>
    <xf numFmtId="2" fontId="2" fillId="4" borderId="37" xfId="0" applyNumberFormat="1" applyFont="1" applyFill="1" applyBorder="1" applyAlignment="1" applyProtection="1">
      <alignment vertical="center"/>
    </xf>
    <xf numFmtId="2" fontId="2" fillId="4" borderId="35" xfId="0" applyNumberFormat="1" applyFont="1" applyFill="1" applyBorder="1" applyAlignment="1" applyProtection="1">
      <alignment vertical="center"/>
    </xf>
    <xf numFmtId="1" fontId="2" fillId="4" borderId="0" xfId="0" applyNumberFormat="1" applyFont="1" applyFill="1" applyBorder="1" applyAlignment="1" applyProtection="1">
      <alignment vertical="center"/>
    </xf>
    <xf numFmtId="2" fontId="2" fillId="4" borderId="10" xfId="0" applyNumberFormat="1" applyFont="1" applyFill="1" applyBorder="1" applyAlignment="1" applyProtection="1">
      <alignment vertical="center"/>
    </xf>
    <xf numFmtId="0" fontId="0" fillId="10" borderId="0" xfId="0" applyFill="1" applyBorder="1"/>
    <xf numFmtId="2" fontId="0" fillId="10" borderId="0" xfId="0" applyNumberFormat="1" applyFill="1" applyBorder="1"/>
    <xf numFmtId="2" fontId="0" fillId="0" borderId="0" xfId="0" applyNumberFormat="1" applyBorder="1"/>
    <xf numFmtId="0" fontId="10" fillId="10" borderId="0" xfId="0" applyFont="1" applyFill="1" applyBorder="1" applyAlignment="1">
      <alignment horizontal="left"/>
    </xf>
    <xf numFmtId="0" fontId="1" fillId="10" borderId="0" xfId="0" applyFont="1" applyFill="1" applyBorder="1" applyAlignment="1">
      <alignment horizontal="left"/>
    </xf>
    <xf numFmtId="0" fontId="0" fillId="3" borderId="1" xfId="0" applyFill="1" applyBorder="1" applyAlignment="1">
      <alignment horizontal="center"/>
    </xf>
    <xf numFmtId="0" fontId="5" fillId="4" borderId="41" xfId="0" applyNumberFormat="1" applyFont="1" applyFill="1" applyBorder="1" applyAlignment="1" applyProtection="1">
      <alignment horizontal="center" vertical="center"/>
      <protection locked="0"/>
    </xf>
    <xf numFmtId="0" fontId="5" fillId="4" borderId="42" xfId="0" applyNumberFormat="1" applyFont="1" applyFill="1" applyBorder="1" applyAlignment="1" applyProtection="1">
      <alignment horizontal="center" vertical="center"/>
      <protection locked="0"/>
    </xf>
    <xf numFmtId="0" fontId="5" fillId="4" borderId="45" xfId="0" applyNumberFormat="1" applyFont="1" applyFill="1" applyBorder="1" applyAlignment="1" applyProtection="1">
      <alignment horizontal="center" vertical="center"/>
      <protection locked="0"/>
    </xf>
    <xf numFmtId="0" fontId="5" fillId="6" borderId="46" xfId="0" applyFont="1" applyFill="1" applyBorder="1" applyAlignment="1">
      <alignment horizontal="center" vertical="center" wrapText="1"/>
    </xf>
    <xf numFmtId="164" fontId="0" fillId="0" borderId="0" xfId="0" applyNumberFormat="1" applyBorder="1" applyAlignment="1">
      <alignment horizontal="left" wrapText="1"/>
    </xf>
    <xf numFmtId="164" fontId="0" fillId="0" borderId="0" xfId="0" applyNumberFormat="1" applyBorder="1"/>
    <xf numFmtId="164" fontId="10" fillId="10" borderId="0" xfId="0" applyNumberFormat="1" applyFont="1" applyFill="1" applyBorder="1" applyAlignment="1">
      <alignment horizontal="left"/>
    </xf>
    <xf numFmtId="164" fontId="1" fillId="10" borderId="0" xfId="0" applyNumberFormat="1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6" fillId="0" borderId="0" xfId="0" applyFont="1" applyAlignment="1">
      <alignment horizontal="center" wrapText="1"/>
    </xf>
    <xf numFmtId="0" fontId="0" fillId="7" borderId="1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2" xfId="0" applyFill="1" applyBorder="1" applyAlignment="1" applyProtection="1">
      <alignment horizontal="center"/>
    </xf>
    <xf numFmtId="0" fontId="0" fillId="7" borderId="3" xfId="0" applyFill="1" applyBorder="1" applyAlignment="1" applyProtection="1">
      <alignment horizontal="center"/>
    </xf>
    <xf numFmtId="0" fontId="0" fillId="7" borderId="4" xfId="0" applyFill="1" applyBorder="1" applyAlignment="1" applyProtection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64" fontId="0" fillId="7" borderId="2" xfId="0" applyNumberFormat="1" applyFill="1" applyBorder="1" applyAlignment="1">
      <alignment horizontal="center"/>
    </xf>
    <xf numFmtId="164" fontId="0" fillId="7" borderId="3" xfId="0" applyNumberFormat="1" applyFill="1" applyBorder="1" applyAlignment="1">
      <alignment horizontal="center"/>
    </xf>
    <xf numFmtId="164" fontId="0" fillId="7" borderId="4" xfId="0" applyNumberForma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3" fillId="5" borderId="29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28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9" borderId="26" xfId="0" applyFill="1" applyBorder="1" applyAlignment="1">
      <alignment horizontal="center"/>
    </xf>
    <xf numFmtId="0" fontId="0" fillId="9" borderId="27" xfId="0" applyFill="1" applyBorder="1" applyAlignment="1">
      <alignment horizontal="center"/>
    </xf>
    <xf numFmtId="2" fontId="0" fillId="9" borderId="43" xfId="0" applyNumberFormat="1" applyFill="1" applyBorder="1" applyAlignment="1">
      <alignment horizontal="center"/>
    </xf>
    <xf numFmtId="2" fontId="0" fillId="9" borderId="44" xfId="0" applyNumberForma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7" borderId="40" xfId="0" applyFill="1" applyBorder="1" applyAlignment="1" applyProtection="1">
      <alignment horizontal="center"/>
    </xf>
    <xf numFmtId="0" fontId="3" fillId="5" borderId="3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left" wrapText="1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Fill="1" applyBorder="1" applyAlignment="1">
      <alignment horizontal="center"/>
    </xf>
    <xf numFmtId="0" fontId="0" fillId="8" borderId="34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0" fillId="8" borderId="2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22" xfId="0" applyFill="1" applyBorder="1" applyAlignment="1">
      <alignment horizontal="center" wrapText="1"/>
    </xf>
    <xf numFmtId="0" fontId="0" fillId="8" borderId="25" xfId="0" applyFill="1" applyBorder="1" applyAlignment="1">
      <alignment horizontal="center" wrapText="1"/>
    </xf>
    <xf numFmtId="0" fontId="5" fillId="4" borderId="47" xfId="0" applyNumberFormat="1" applyFont="1" applyFill="1" applyBorder="1" applyAlignment="1" applyProtection="1">
      <alignment horizontal="center" vertical="center"/>
      <protection locked="0"/>
    </xf>
    <xf numFmtId="0" fontId="5" fillId="4" borderId="32" xfId="0" applyNumberFormat="1" applyFont="1" applyFill="1" applyBorder="1" applyAlignment="1" applyProtection="1">
      <alignment horizontal="center" vertical="center"/>
      <protection locked="0"/>
    </xf>
    <xf numFmtId="0" fontId="5" fillId="4" borderId="36" xfId="0" applyNumberFormat="1" applyFont="1" applyFill="1" applyBorder="1" applyAlignment="1" applyProtection="1">
      <alignment horizontal="center" vertical="center"/>
      <protection locked="0"/>
    </xf>
    <xf numFmtId="0" fontId="0" fillId="8" borderId="3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8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8" borderId="23" xfId="0" applyFill="1" applyBorder="1" applyAlignment="1">
      <alignment horizontal="center" wrapText="1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2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561975</xdr:colOff>
      <xdr:row>7</xdr:row>
      <xdr:rowOff>152400</xdr:rowOff>
    </xdr:from>
    <xdr:to>
      <xdr:col>5</xdr:col>
      <xdr:colOff>457200</xdr:colOff>
      <xdr:row>9</xdr:row>
      <xdr:rowOff>66675</xdr:rowOff>
    </xdr:to>
    <xdr:sp macro="[0]!AddReciver" textlink="">
      <xdr:nvSpPr>
        <xdr:cNvPr id="2" name="Rounded Rectangle 1"/>
        <xdr:cNvSpPr/>
      </xdr:nvSpPr>
      <xdr:spPr>
        <a:xfrm>
          <a:off x="2390775" y="1866900"/>
          <a:ext cx="1114425" cy="295275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Save Receiver</a:t>
          </a:r>
        </a:p>
      </xdr:txBody>
    </xdr:sp>
    <xdr:clientData/>
  </xdr:twoCellAnchor>
  <xdr:twoCellAnchor>
    <xdr:from>
      <xdr:col>1</xdr:col>
      <xdr:colOff>180975</xdr:colOff>
      <xdr:row>7</xdr:row>
      <xdr:rowOff>152400</xdr:rowOff>
    </xdr:from>
    <xdr:to>
      <xdr:col>3</xdr:col>
      <xdr:colOff>76200</xdr:colOff>
      <xdr:row>9</xdr:row>
      <xdr:rowOff>66675</xdr:rowOff>
    </xdr:to>
    <xdr:sp macro="[0]!ClearReciver" textlink="">
      <xdr:nvSpPr>
        <xdr:cNvPr id="3" name="Rounded Rectangle 2"/>
        <xdr:cNvSpPr/>
      </xdr:nvSpPr>
      <xdr:spPr>
        <a:xfrm>
          <a:off x="790575" y="1866900"/>
          <a:ext cx="1114425" cy="295275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Clear</a:t>
          </a:r>
          <a:r>
            <a:rPr lang="en-US" sz="1100" b="1" baseline="0">
              <a:solidFill>
                <a:schemeClr val="accent2">
                  <a:lumMod val="50000"/>
                </a:schemeClr>
              </a:solidFill>
            </a:rPr>
            <a:t> Containt</a:t>
          </a:r>
          <a:endParaRPr lang="en-US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13</xdr:col>
      <xdr:colOff>180975</xdr:colOff>
      <xdr:row>7</xdr:row>
      <xdr:rowOff>180975</xdr:rowOff>
    </xdr:from>
    <xdr:to>
      <xdr:col>15</xdr:col>
      <xdr:colOff>76200</xdr:colOff>
      <xdr:row>9</xdr:row>
      <xdr:rowOff>95250</xdr:rowOff>
    </xdr:to>
    <xdr:sp macro="[0]!ClearSupplier" textlink="">
      <xdr:nvSpPr>
        <xdr:cNvPr id="4" name="Rounded Rectangle 3"/>
        <xdr:cNvSpPr/>
      </xdr:nvSpPr>
      <xdr:spPr>
        <a:xfrm>
          <a:off x="7496175" y="1895475"/>
          <a:ext cx="1114425" cy="295275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Clear</a:t>
          </a:r>
          <a:r>
            <a:rPr lang="en-US" sz="1100" b="1" baseline="0">
              <a:solidFill>
                <a:schemeClr val="accent2">
                  <a:lumMod val="50000"/>
                </a:schemeClr>
              </a:solidFill>
            </a:rPr>
            <a:t> Containt</a:t>
          </a:r>
          <a:endParaRPr lang="en-US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15</xdr:col>
      <xdr:colOff>600075</xdr:colOff>
      <xdr:row>7</xdr:row>
      <xdr:rowOff>161925</xdr:rowOff>
    </xdr:from>
    <xdr:to>
      <xdr:col>17</xdr:col>
      <xdr:colOff>495300</xdr:colOff>
      <xdr:row>9</xdr:row>
      <xdr:rowOff>76200</xdr:rowOff>
    </xdr:to>
    <xdr:sp macro="[0]!AddSupplier" textlink="">
      <xdr:nvSpPr>
        <xdr:cNvPr id="5" name="Rounded Rectangle 4"/>
        <xdr:cNvSpPr/>
      </xdr:nvSpPr>
      <xdr:spPr>
        <a:xfrm>
          <a:off x="9134475" y="1876425"/>
          <a:ext cx="1114425" cy="295275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Save Supplier</a:t>
          </a:r>
        </a:p>
      </xdr:txBody>
    </xdr:sp>
    <xdr:clientData/>
  </xdr:twoCellAnchor>
  <xdr:twoCellAnchor>
    <xdr:from>
      <xdr:col>9</xdr:col>
      <xdr:colOff>327025</xdr:colOff>
      <xdr:row>9</xdr:row>
      <xdr:rowOff>76201</xdr:rowOff>
    </xdr:from>
    <xdr:to>
      <xdr:col>10</xdr:col>
      <xdr:colOff>571500</xdr:colOff>
      <xdr:row>10</xdr:row>
      <xdr:rowOff>180975</xdr:rowOff>
    </xdr:to>
    <xdr:sp macro="[0]!AddItem" textlink="">
      <xdr:nvSpPr>
        <xdr:cNvPr id="6" name="Rounded Rectangle 5"/>
        <xdr:cNvSpPr/>
      </xdr:nvSpPr>
      <xdr:spPr>
        <a:xfrm>
          <a:off x="6108700" y="1790701"/>
          <a:ext cx="854075" cy="295274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Add</a:t>
          </a:r>
          <a:r>
            <a:rPr lang="en-US" sz="1100" b="1" baseline="0">
              <a:solidFill>
                <a:schemeClr val="accent2">
                  <a:lumMod val="50000"/>
                </a:schemeClr>
              </a:solidFill>
            </a:rPr>
            <a:t> Item</a:t>
          </a:r>
          <a:endParaRPr lang="en-US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561975</xdr:colOff>
      <xdr:row>22</xdr:row>
      <xdr:rowOff>152400</xdr:rowOff>
    </xdr:from>
    <xdr:to>
      <xdr:col>5</xdr:col>
      <xdr:colOff>457200</xdr:colOff>
      <xdr:row>24</xdr:row>
      <xdr:rowOff>66675</xdr:rowOff>
    </xdr:to>
    <xdr:sp macro="[0]!EditReciver" textlink="">
      <xdr:nvSpPr>
        <xdr:cNvPr id="7" name="Rounded Rectangle 6"/>
        <xdr:cNvSpPr/>
      </xdr:nvSpPr>
      <xdr:spPr>
        <a:xfrm>
          <a:off x="2390775" y="5105400"/>
          <a:ext cx="1114425" cy="295275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Save Receiver</a:t>
          </a:r>
        </a:p>
      </xdr:txBody>
    </xdr:sp>
    <xdr:clientData/>
  </xdr:twoCellAnchor>
  <xdr:twoCellAnchor>
    <xdr:from>
      <xdr:col>1</xdr:col>
      <xdr:colOff>180975</xdr:colOff>
      <xdr:row>22</xdr:row>
      <xdr:rowOff>152400</xdr:rowOff>
    </xdr:from>
    <xdr:to>
      <xdr:col>3</xdr:col>
      <xdr:colOff>76200</xdr:colOff>
      <xdr:row>24</xdr:row>
      <xdr:rowOff>66675</xdr:rowOff>
    </xdr:to>
    <xdr:sp macro="[0]!DeleteReciver" textlink="">
      <xdr:nvSpPr>
        <xdr:cNvPr id="8" name="Rounded Rectangle 7"/>
        <xdr:cNvSpPr/>
      </xdr:nvSpPr>
      <xdr:spPr>
        <a:xfrm>
          <a:off x="790575" y="5105400"/>
          <a:ext cx="1114425" cy="295275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1">
              <a:solidFill>
                <a:schemeClr val="accent2">
                  <a:lumMod val="50000"/>
                </a:schemeClr>
              </a:solidFill>
            </a:rPr>
            <a:t>Delete</a:t>
          </a:r>
          <a:r>
            <a:rPr lang="en-US" sz="1050" b="1" baseline="0">
              <a:solidFill>
                <a:schemeClr val="accent2">
                  <a:lumMod val="50000"/>
                </a:schemeClr>
              </a:solidFill>
            </a:rPr>
            <a:t> Recevier</a:t>
          </a:r>
          <a:endParaRPr lang="en-US" sz="1050" b="1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13</xdr:col>
      <xdr:colOff>180975</xdr:colOff>
      <xdr:row>22</xdr:row>
      <xdr:rowOff>180975</xdr:rowOff>
    </xdr:from>
    <xdr:to>
      <xdr:col>15</xdr:col>
      <xdr:colOff>76200</xdr:colOff>
      <xdr:row>24</xdr:row>
      <xdr:rowOff>95250</xdr:rowOff>
    </xdr:to>
    <xdr:sp macro="[0]!DeleteSupplier" textlink="">
      <xdr:nvSpPr>
        <xdr:cNvPr id="9" name="Rounded Rectangle 8"/>
        <xdr:cNvSpPr/>
      </xdr:nvSpPr>
      <xdr:spPr>
        <a:xfrm>
          <a:off x="8105775" y="1895475"/>
          <a:ext cx="1114425" cy="295275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Delete</a:t>
          </a:r>
          <a:r>
            <a:rPr lang="en-US" sz="1100" b="1" baseline="0">
              <a:solidFill>
                <a:schemeClr val="accent2">
                  <a:lumMod val="50000"/>
                </a:schemeClr>
              </a:solidFill>
            </a:rPr>
            <a:t> Supplier</a:t>
          </a:r>
          <a:endParaRPr lang="en-US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15</xdr:col>
      <xdr:colOff>600075</xdr:colOff>
      <xdr:row>22</xdr:row>
      <xdr:rowOff>161925</xdr:rowOff>
    </xdr:from>
    <xdr:to>
      <xdr:col>17</xdr:col>
      <xdr:colOff>495300</xdr:colOff>
      <xdr:row>24</xdr:row>
      <xdr:rowOff>76200</xdr:rowOff>
    </xdr:to>
    <xdr:sp macro="[0]!EditSupplier" textlink="">
      <xdr:nvSpPr>
        <xdr:cNvPr id="10" name="Rounded Rectangle 9"/>
        <xdr:cNvSpPr/>
      </xdr:nvSpPr>
      <xdr:spPr>
        <a:xfrm>
          <a:off x="9744075" y="1876425"/>
          <a:ext cx="1114425" cy="295275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Save Supplier</a:t>
          </a:r>
        </a:p>
      </xdr:txBody>
    </xdr:sp>
    <xdr:clientData/>
  </xdr:twoCellAnchor>
  <xdr:twoCellAnchor>
    <xdr:from>
      <xdr:col>9</xdr:col>
      <xdr:colOff>171450</xdr:colOff>
      <xdr:row>23</xdr:row>
      <xdr:rowOff>76200</xdr:rowOff>
    </xdr:from>
    <xdr:to>
      <xdr:col>10</xdr:col>
      <xdr:colOff>542925</xdr:colOff>
      <xdr:row>24</xdr:row>
      <xdr:rowOff>174625</xdr:rowOff>
    </xdr:to>
    <xdr:sp macro="[0]!EditItem" textlink="">
      <xdr:nvSpPr>
        <xdr:cNvPr id="12" name="Rounded Rectangle 11"/>
        <xdr:cNvSpPr/>
      </xdr:nvSpPr>
      <xdr:spPr>
        <a:xfrm>
          <a:off x="5953125" y="4457700"/>
          <a:ext cx="981075" cy="288925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 baseline="0">
              <a:solidFill>
                <a:schemeClr val="accent2">
                  <a:lumMod val="50000"/>
                </a:schemeClr>
              </a:solidFill>
            </a:rPr>
            <a:t>Save Item</a:t>
          </a:r>
          <a:endParaRPr lang="en-US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7</xdr:col>
      <xdr:colOff>596900</xdr:colOff>
      <xdr:row>23</xdr:row>
      <xdr:rowOff>76200</xdr:rowOff>
    </xdr:from>
    <xdr:to>
      <xdr:col>9</xdr:col>
      <xdr:colOff>22225</xdr:colOff>
      <xdr:row>24</xdr:row>
      <xdr:rowOff>174625</xdr:rowOff>
    </xdr:to>
    <xdr:sp macro="[0]!MasterSheet.DeleteItem" textlink="">
      <xdr:nvSpPr>
        <xdr:cNvPr id="13" name="Rounded Rectangle 12"/>
        <xdr:cNvSpPr/>
      </xdr:nvSpPr>
      <xdr:spPr>
        <a:xfrm>
          <a:off x="4864100" y="4457700"/>
          <a:ext cx="939800" cy="288925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 baseline="0">
              <a:solidFill>
                <a:schemeClr val="accent2">
                  <a:lumMod val="50000"/>
                </a:schemeClr>
              </a:solidFill>
            </a:rPr>
            <a:t>Delete Item</a:t>
          </a:r>
          <a:endParaRPr lang="en-US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8</xdr:col>
      <xdr:colOff>57151</xdr:colOff>
      <xdr:row>9</xdr:row>
      <xdr:rowOff>73025</xdr:rowOff>
    </xdr:from>
    <xdr:to>
      <xdr:col>9</xdr:col>
      <xdr:colOff>184151</xdr:colOff>
      <xdr:row>10</xdr:row>
      <xdr:rowOff>171450</xdr:rowOff>
    </xdr:to>
    <xdr:sp macro="[0]!ClearItem" textlink="">
      <xdr:nvSpPr>
        <xdr:cNvPr id="17" name="Rounded Rectangle 16"/>
        <xdr:cNvSpPr/>
      </xdr:nvSpPr>
      <xdr:spPr>
        <a:xfrm>
          <a:off x="4933951" y="1787525"/>
          <a:ext cx="1031875" cy="288925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1">
              <a:solidFill>
                <a:schemeClr val="accent2">
                  <a:lumMod val="50000"/>
                </a:schemeClr>
              </a:solidFill>
            </a:rPr>
            <a:t>Clear</a:t>
          </a:r>
          <a:r>
            <a:rPr lang="en-US" sz="1100" b="1" baseline="0">
              <a:solidFill>
                <a:schemeClr val="accent2">
                  <a:lumMod val="50000"/>
                </a:schemeClr>
              </a:solidFill>
            </a:rPr>
            <a:t> Containt</a:t>
          </a:r>
          <a:endParaRPr lang="en-US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114300</xdr:colOff>
      <xdr:row>16</xdr:row>
      <xdr:rowOff>171450</xdr:rowOff>
    </xdr:from>
    <xdr:to>
      <xdr:col>7</xdr:col>
      <xdr:colOff>381000</xdr:colOff>
      <xdr:row>18</xdr:row>
      <xdr:rowOff>0</xdr:rowOff>
    </xdr:to>
    <xdr:sp macro="[0]!SearchReciver" textlink="">
      <xdr:nvSpPr>
        <xdr:cNvPr id="15" name="Rounded Rectangle 14"/>
        <xdr:cNvSpPr/>
      </xdr:nvSpPr>
      <xdr:spPr>
        <a:xfrm>
          <a:off x="3771900" y="3219450"/>
          <a:ext cx="876300" cy="209550"/>
        </a:xfrm>
        <a:prstGeom prst="roundRect">
          <a:avLst/>
        </a:prstGeom>
        <a:solidFill>
          <a:schemeClr val="bg2">
            <a:lumMod val="75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Search</a:t>
          </a:r>
        </a:p>
      </xdr:txBody>
    </xdr:sp>
    <xdr:clientData/>
  </xdr:twoCellAnchor>
  <xdr:twoCellAnchor>
    <xdr:from>
      <xdr:col>11</xdr:col>
      <xdr:colOff>190500</xdr:colOff>
      <xdr:row>15</xdr:row>
      <xdr:rowOff>171450</xdr:rowOff>
    </xdr:from>
    <xdr:to>
      <xdr:col>12</xdr:col>
      <xdr:colOff>457200</xdr:colOff>
      <xdr:row>17</xdr:row>
      <xdr:rowOff>0</xdr:rowOff>
    </xdr:to>
    <xdr:sp macro="[0]!SearchItem" textlink="">
      <xdr:nvSpPr>
        <xdr:cNvPr id="16" name="Rounded Rectangle 15"/>
        <xdr:cNvSpPr/>
      </xdr:nvSpPr>
      <xdr:spPr>
        <a:xfrm>
          <a:off x="7191375" y="3028950"/>
          <a:ext cx="876300" cy="209550"/>
        </a:xfrm>
        <a:prstGeom prst="roundRect">
          <a:avLst/>
        </a:prstGeom>
        <a:solidFill>
          <a:schemeClr val="bg2">
            <a:lumMod val="75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Search</a:t>
          </a:r>
        </a:p>
      </xdr:txBody>
    </xdr:sp>
    <xdr:clientData/>
  </xdr:twoCellAnchor>
  <xdr:twoCellAnchor>
    <xdr:from>
      <xdr:col>18</xdr:col>
      <xdr:colOff>142875</xdr:colOff>
      <xdr:row>16</xdr:row>
      <xdr:rowOff>152400</xdr:rowOff>
    </xdr:from>
    <xdr:to>
      <xdr:col>19</xdr:col>
      <xdr:colOff>409575</xdr:colOff>
      <xdr:row>17</xdr:row>
      <xdr:rowOff>171450</xdr:rowOff>
    </xdr:to>
    <xdr:sp macro="[0]!SearchSupplier" textlink="">
      <xdr:nvSpPr>
        <xdr:cNvPr id="18" name="Rounded Rectangle 17"/>
        <xdr:cNvSpPr/>
      </xdr:nvSpPr>
      <xdr:spPr>
        <a:xfrm>
          <a:off x="11410950" y="3200400"/>
          <a:ext cx="876300" cy="209550"/>
        </a:xfrm>
        <a:prstGeom prst="roundRect">
          <a:avLst/>
        </a:prstGeom>
        <a:solidFill>
          <a:schemeClr val="bg2">
            <a:lumMod val="75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Search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10</xdr:row>
      <xdr:rowOff>85725</xdr:rowOff>
    </xdr:from>
    <xdr:to>
      <xdr:col>4</xdr:col>
      <xdr:colOff>314325</xdr:colOff>
      <xdr:row>12</xdr:row>
      <xdr:rowOff>47625</xdr:rowOff>
    </xdr:to>
    <xdr:sp macro="[0]!CreateInvoice" textlink="">
      <xdr:nvSpPr>
        <xdr:cNvPr id="3" name="Rounded Rectangle 2"/>
        <xdr:cNvSpPr/>
      </xdr:nvSpPr>
      <xdr:spPr>
        <a:xfrm>
          <a:off x="1352550" y="1990725"/>
          <a:ext cx="1400175" cy="342900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Create</a:t>
          </a:r>
          <a:r>
            <a:rPr lang="en-US" sz="1100" b="1" baseline="0">
              <a:solidFill>
                <a:schemeClr val="accent2">
                  <a:lumMod val="50000"/>
                </a:schemeClr>
              </a:solidFill>
            </a:rPr>
            <a:t> Invoice</a:t>
          </a:r>
          <a:endParaRPr lang="en-US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504825</xdr:colOff>
      <xdr:row>10</xdr:row>
      <xdr:rowOff>66675</xdr:rowOff>
    </xdr:from>
    <xdr:to>
      <xdr:col>9</xdr:col>
      <xdr:colOff>76200</xdr:colOff>
      <xdr:row>12</xdr:row>
      <xdr:rowOff>28575</xdr:rowOff>
    </xdr:to>
    <xdr:sp macro="[0]!CreateMasterData" textlink="">
      <xdr:nvSpPr>
        <xdr:cNvPr id="4" name="Rounded Rectangle 3"/>
        <xdr:cNvSpPr/>
      </xdr:nvSpPr>
      <xdr:spPr>
        <a:xfrm>
          <a:off x="4162425" y="1971675"/>
          <a:ext cx="1400175" cy="342900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Create MasterData</a:t>
          </a:r>
        </a:p>
      </xdr:txBody>
    </xdr:sp>
    <xdr:clientData/>
  </xdr:twoCellAnchor>
  <xdr:twoCellAnchor>
    <xdr:from>
      <xdr:col>11</xdr:col>
      <xdr:colOff>323850</xdr:colOff>
      <xdr:row>10</xdr:row>
      <xdr:rowOff>76200</xdr:rowOff>
    </xdr:from>
    <xdr:to>
      <xdr:col>13</xdr:col>
      <xdr:colOff>504825</xdr:colOff>
      <xdr:row>12</xdr:row>
      <xdr:rowOff>38100</xdr:rowOff>
    </xdr:to>
    <xdr:sp macro="[0]!CreateGSTR1" textlink="">
      <xdr:nvSpPr>
        <xdr:cNvPr id="5" name="Rounded Rectangle 4"/>
        <xdr:cNvSpPr/>
      </xdr:nvSpPr>
      <xdr:spPr>
        <a:xfrm>
          <a:off x="7029450" y="1981200"/>
          <a:ext cx="1400175" cy="342900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Create GSTR1 </a:t>
          </a:r>
        </a:p>
      </xdr:txBody>
    </xdr:sp>
    <xdr:clientData/>
  </xdr:twoCellAnchor>
  <xdr:twoCellAnchor>
    <xdr:from>
      <xdr:col>16</xdr:col>
      <xdr:colOff>238125</xdr:colOff>
      <xdr:row>10</xdr:row>
      <xdr:rowOff>76200</xdr:rowOff>
    </xdr:from>
    <xdr:to>
      <xdr:col>18</xdr:col>
      <xdr:colOff>419100</xdr:colOff>
      <xdr:row>12</xdr:row>
      <xdr:rowOff>38100</xdr:rowOff>
    </xdr:to>
    <xdr:sp macro="" textlink="">
      <xdr:nvSpPr>
        <xdr:cNvPr id="6" name="Rounded Rectangle 5"/>
        <xdr:cNvSpPr/>
      </xdr:nvSpPr>
      <xdr:spPr>
        <a:xfrm>
          <a:off x="9991725" y="1981200"/>
          <a:ext cx="1400175" cy="342900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Upload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387350</xdr:colOff>
          <xdr:row>2</xdr:row>
          <xdr:rowOff>0</xdr:rowOff>
        </xdr:from>
        <xdr:to>
          <xdr:col>20</xdr:col>
          <xdr:colOff>6350</xdr:colOff>
          <xdr:row>23</xdr:row>
          <xdr:rowOff>88900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241300</xdr:colOff>
          <xdr:row>8</xdr:row>
          <xdr:rowOff>38100</xdr:rowOff>
        </xdr:from>
        <xdr:to>
          <xdr:col>5</xdr:col>
          <xdr:colOff>63500</xdr:colOff>
          <xdr:row>14</xdr:row>
          <xdr:rowOff>6350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Create Invoice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8</xdr:row>
          <xdr:rowOff>38100</xdr:rowOff>
        </xdr:from>
        <xdr:to>
          <xdr:col>9</xdr:col>
          <xdr:colOff>279400</xdr:colOff>
          <xdr:row>14</xdr:row>
          <xdr:rowOff>6350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Create MasterData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374650</xdr:colOff>
          <xdr:row>8</xdr:row>
          <xdr:rowOff>38100</xdr:rowOff>
        </xdr:from>
        <xdr:to>
          <xdr:col>14</xdr:col>
          <xdr:colOff>196850</xdr:colOff>
          <xdr:row>14</xdr:row>
          <xdr:rowOff>6350</xdr:rowOff>
        </xdr:to>
        <xdr:sp macro="" textlink="">
          <xdr:nvSpPr>
            <xdr:cNvPr id="1028" name="Group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Create GSTR1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292100</xdr:colOff>
          <xdr:row>8</xdr:row>
          <xdr:rowOff>63500</xdr:rowOff>
        </xdr:from>
        <xdr:to>
          <xdr:col>19</xdr:col>
          <xdr:colOff>114300</xdr:colOff>
          <xdr:row>14</xdr:row>
          <xdr:rowOff>31750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 File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438150</xdr:colOff>
      <xdr:row>4</xdr:row>
      <xdr:rowOff>93263</xdr:rowOff>
    </xdr:from>
    <xdr:to>
      <xdr:col>23</xdr:col>
      <xdr:colOff>523875</xdr:colOff>
      <xdr:row>6</xdr:row>
      <xdr:rowOff>106</xdr:rowOff>
    </xdr:to>
    <xdr:sp macro="[0]!AddInvcItem" textlink="">
      <xdr:nvSpPr>
        <xdr:cNvPr id="3" name="Rounded Rectangle 2"/>
        <xdr:cNvSpPr/>
      </xdr:nvSpPr>
      <xdr:spPr>
        <a:xfrm>
          <a:off x="12286831" y="962027"/>
          <a:ext cx="1299901" cy="283656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Add Item</a:t>
          </a:r>
        </a:p>
      </xdr:txBody>
    </xdr:sp>
    <xdr:clientData/>
  </xdr:twoCellAnchor>
  <xdr:twoCellAnchor>
    <xdr:from>
      <xdr:col>21</xdr:col>
      <xdr:colOff>76200</xdr:colOff>
      <xdr:row>3</xdr:row>
      <xdr:rowOff>0</xdr:rowOff>
    </xdr:from>
    <xdr:to>
      <xdr:col>24</xdr:col>
      <xdr:colOff>266700</xdr:colOff>
      <xdr:row>20</xdr:row>
      <xdr:rowOff>136073</xdr:rowOff>
    </xdr:to>
    <xdr:sp macro="" textlink="">
      <xdr:nvSpPr>
        <xdr:cNvPr id="6" name="Frame 5"/>
        <xdr:cNvSpPr/>
      </xdr:nvSpPr>
      <xdr:spPr>
        <a:xfrm>
          <a:off x="11924881" y="596621"/>
          <a:ext cx="2011764" cy="3433188"/>
        </a:xfrm>
        <a:prstGeom prst="frame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447675</xdr:colOff>
      <xdr:row>6</xdr:row>
      <xdr:rowOff>111371</xdr:rowOff>
    </xdr:from>
    <xdr:to>
      <xdr:col>23</xdr:col>
      <xdr:colOff>533400</xdr:colOff>
      <xdr:row>8</xdr:row>
      <xdr:rowOff>18214</xdr:rowOff>
    </xdr:to>
    <xdr:sp macro="[0]!DeleteInvcItem" textlink="">
      <xdr:nvSpPr>
        <xdr:cNvPr id="7" name="Rounded Rectangle 6"/>
        <xdr:cNvSpPr/>
      </xdr:nvSpPr>
      <xdr:spPr>
        <a:xfrm>
          <a:off x="12296356" y="1356948"/>
          <a:ext cx="1299901" cy="283656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Delete</a:t>
          </a:r>
          <a:r>
            <a:rPr lang="en-US" sz="1100" b="1" baseline="0">
              <a:solidFill>
                <a:schemeClr val="tx1"/>
              </a:solidFill>
            </a:rPr>
            <a:t> Item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425798</xdr:colOff>
      <xdr:row>8</xdr:row>
      <xdr:rowOff>139945</xdr:rowOff>
    </xdr:from>
    <xdr:to>
      <xdr:col>23</xdr:col>
      <xdr:colOff>511523</xdr:colOff>
      <xdr:row>10</xdr:row>
      <xdr:rowOff>46788</xdr:rowOff>
    </xdr:to>
    <xdr:sp macro="[0]!AddNewInvoice" textlink="">
      <xdr:nvSpPr>
        <xdr:cNvPr id="8" name="Rounded Rectangle 7"/>
        <xdr:cNvSpPr/>
      </xdr:nvSpPr>
      <xdr:spPr>
        <a:xfrm>
          <a:off x="12274479" y="1762335"/>
          <a:ext cx="1299901" cy="283656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Add New</a:t>
          </a:r>
          <a:r>
            <a:rPr lang="en-US" sz="1100" b="1" baseline="0">
              <a:solidFill>
                <a:schemeClr val="tx1"/>
              </a:solidFill>
            </a:rPr>
            <a:t> Invoice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447675</xdr:colOff>
      <xdr:row>15</xdr:row>
      <xdr:rowOff>9630</xdr:rowOff>
    </xdr:from>
    <xdr:to>
      <xdr:col>23</xdr:col>
      <xdr:colOff>533400</xdr:colOff>
      <xdr:row>16</xdr:row>
      <xdr:rowOff>102786</xdr:rowOff>
    </xdr:to>
    <xdr:sp macro="[0]!SaveInvoice" textlink="">
      <xdr:nvSpPr>
        <xdr:cNvPr id="9" name="Rounded Rectangle 8"/>
        <xdr:cNvSpPr/>
      </xdr:nvSpPr>
      <xdr:spPr>
        <a:xfrm>
          <a:off x="12296356" y="2950866"/>
          <a:ext cx="1299901" cy="281563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Save</a:t>
          </a:r>
        </a:p>
      </xdr:txBody>
    </xdr:sp>
    <xdr:clientData/>
  </xdr:twoCellAnchor>
  <xdr:twoCellAnchor>
    <xdr:from>
      <xdr:col>21</xdr:col>
      <xdr:colOff>447675</xdr:colOff>
      <xdr:row>17</xdr:row>
      <xdr:rowOff>39147</xdr:rowOff>
    </xdr:from>
    <xdr:to>
      <xdr:col>23</xdr:col>
      <xdr:colOff>533400</xdr:colOff>
      <xdr:row>18</xdr:row>
      <xdr:rowOff>122779</xdr:rowOff>
    </xdr:to>
    <xdr:sp macro="[0]!SearchInvoice" textlink="">
      <xdr:nvSpPr>
        <xdr:cNvPr id="10" name="Rounded Rectangle 9"/>
        <xdr:cNvSpPr/>
      </xdr:nvSpPr>
      <xdr:spPr>
        <a:xfrm>
          <a:off x="12296356" y="3357196"/>
          <a:ext cx="1299901" cy="282506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Print</a:t>
          </a:r>
        </a:p>
      </xdr:txBody>
    </xdr:sp>
    <xdr:clientData/>
  </xdr:twoCellAnchor>
  <xdr:twoCellAnchor>
    <xdr:from>
      <xdr:col>21</xdr:col>
      <xdr:colOff>438150</xdr:colOff>
      <xdr:row>12</xdr:row>
      <xdr:rowOff>178987</xdr:rowOff>
    </xdr:from>
    <xdr:to>
      <xdr:col>23</xdr:col>
      <xdr:colOff>523875</xdr:colOff>
      <xdr:row>14</xdr:row>
      <xdr:rowOff>83736</xdr:rowOff>
    </xdr:to>
    <xdr:sp macro="[0]!SearchInvoice" textlink="">
      <xdr:nvSpPr>
        <xdr:cNvPr id="11" name="Rounded Rectangle 10"/>
        <xdr:cNvSpPr/>
      </xdr:nvSpPr>
      <xdr:spPr>
        <a:xfrm>
          <a:off x="12286831" y="2555003"/>
          <a:ext cx="1299901" cy="281563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Search</a:t>
          </a:r>
          <a:r>
            <a:rPr lang="en-US" sz="1100" b="1" baseline="0">
              <a:solidFill>
                <a:schemeClr val="tx1"/>
              </a:solidFill>
            </a:rPr>
            <a:t> Invoice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443070</xdr:colOff>
      <xdr:row>10</xdr:row>
      <xdr:rowOff>159099</xdr:rowOff>
    </xdr:from>
    <xdr:to>
      <xdr:col>23</xdr:col>
      <xdr:colOff>528795</xdr:colOff>
      <xdr:row>12</xdr:row>
      <xdr:rowOff>65942</xdr:rowOff>
    </xdr:to>
    <xdr:sp macro="[0]!DeleteInvoice" textlink="">
      <xdr:nvSpPr>
        <xdr:cNvPr id="12" name="Rounded Rectangle 11"/>
        <xdr:cNvSpPr/>
      </xdr:nvSpPr>
      <xdr:spPr>
        <a:xfrm>
          <a:off x="12291751" y="2158302"/>
          <a:ext cx="1299901" cy="283656"/>
        </a:xfrm>
        <a:prstGeom prst="roundRect">
          <a:avLst/>
        </a:prstGeom>
        <a:solidFill>
          <a:schemeClr val="bg1">
            <a:lumMod val="75000"/>
          </a:schemeClr>
        </a:solidFill>
        <a:ln w="12700"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Delete</a:t>
          </a:r>
          <a:r>
            <a:rPr lang="en-US" sz="1100" b="1" baseline="0">
              <a:solidFill>
                <a:schemeClr val="tx1"/>
              </a:solidFill>
            </a:rPr>
            <a:t> Invoice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8"/>
  <sheetViews>
    <sheetView showGridLines="0" showRowColHeaders="0" workbookViewId="0">
      <selection activeCell="H17" sqref="H17"/>
    </sheetView>
  </sheetViews>
  <sheetFormatPr defaultColWidth="8.7265625" defaultRowHeight="14.5"/>
  <cols>
    <col min="1" max="1" width="14.6328125" style="2" bestFit="1" customWidth="1"/>
    <col min="2" max="2" width="17.54296875" style="2" bestFit="1" customWidth="1"/>
    <col min="3" max="3" width="10.26953125" style="2" bestFit="1" customWidth="1"/>
    <col min="4" max="4" width="11.6328125" style="2" bestFit="1" customWidth="1"/>
    <col min="5" max="5" width="9.7265625" style="2" bestFit="1" customWidth="1"/>
    <col min="6" max="6" width="8.7265625" style="2"/>
    <col min="7" max="7" width="17.08984375" style="2" bestFit="1" customWidth="1"/>
    <col min="8" max="8" width="16.453125" style="2" bestFit="1" customWidth="1"/>
    <col min="9" max="9" width="9.26953125" style="2" bestFit="1" customWidth="1"/>
    <col min="10" max="10" width="11.6328125" style="2" bestFit="1" customWidth="1"/>
    <col min="11" max="11" width="9.7265625" style="2" bestFit="1" customWidth="1"/>
    <col min="12" max="12" width="8.7265625" style="2"/>
    <col min="13" max="13" width="10.1796875" style="2" bestFit="1" customWidth="1"/>
    <col min="14" max="14" width="9" style="2" bestFit="1" customWidth="1"/>
    <col min="15" max="15" width="9.36328125" style="47" bestFit="1" customWidth="1"/>
    <col min="16" max="16" width="12.08984375" style="47" bestFit="1" customWidth="1"/>
    <col min="17" max="17" width="12.6328125" style="47" bestFit="1" customWidth="1"/>
    <col min="18" max="18" width="12.453125" style="47" bestFit="1" customWidth="1"/>
    <col min="19" max="19" width="12.08984375" style="47" bestFit="1" customWidth="1"/>
    <col min="20" max="16384" width="8.7265625" style="2"/>
  </cols>
  <sheetData>
    <row r="1" spans="1:19">
      <c r="A1" s="59" t="s">
        <v>3</v>
      </c>
      <c r="B1" s="59"/>
      <c r="C1" s="59"/>
      <c r="D1" s="59"/>
      <c r="E1" s="59"/>
      <c r="F1" s="1"/>
      <c r="G1" s="59" t="s">
        <v>4</v>
      </c>
      <c r="H1" s="59"/>
      <c r="I1" s="59"/>
      <c r="J1" s="59"/>
      <c r="K1" s="59"/>
      <c r="M1" s="59" t="s">
        <v>7</v>
      </c>
      <c r="N1" s="59"/>
      <c r="O1" s="59"/>
      <c r="P1" s="59"/>
      <c r="Q1" s="59"/>
      <c r="R1" s="59"/>
      <c r="S1" s="59"/>
    </row>
    <row r="2" spans="1:19">
      <c r="A2" s="45" t="s">
        <v>1</v>
      </c>
      <c r="B2" s="45" t="s">
        <v>0</v>
      </c>
      <c r="C2" s="45" t="s">
        <v>2</v>
      </c>
      <c r="D2" s="45" t="s">
        <v>5</v>
      </c>
      <c r="E2" s="45" t="s">
        <v>6</v>
      </c>
      <c r="G2" s="45" t="s">
        <v>1</v>
      </c>
      <c r="H2" s="45" t="s">
        <v>0</v>
      </c>
      <c r="I2" s="45" t="s">
        <v>2</v>
      </c>
      <c r="J2" s="45" t="s">
        <v>5</v>
      </c>
      <c r="K2" s="45" t="s">
        <v>6</v>
      </c>
      <c r="M2" s="45" t="s">
        <v>7</v>
      </c>
      <c r="N2" s="45" t="s">
        <v>8</v>
      </c>
      <c r="O2" s="46" t="s">
        <v>78</v>
      </c>
      <c r="P2" s="45" t="s">
        <v>64</v>
      </c>
      <c r="Q2" s="45" t="s">
        <v>65</v>
      </c>
      <c r="R2" s="45" t="s">
        <v>66</v>
      </c>
      <c r="S2" s="45" t="s">
        <v>82</v>
      </c>
    </row>
    <row r="3" spans="1:19">
      <c r="A3" s="2" t="s">
        <v>107</v>
      </c>
      <c r="B3" s="2" t="s">
        <v>110</v>
      </c>
      <c r="C3" s="2" t="s">
        <v>71</v>
      </c>
      <c r="D3" s="2" t="s">
        <v>72</v>
      </c>
      <c r="E3" s="2">
        <v>27</v>
      </c>
      <c r="G3" s="2" t="s">
        <v>117</v>
      </c>
      <c r="H3" s="2" t="s">
        <v>110</v>
      </c>
      <c r="I3" s="2" t="s">
        <v>71</v>
      </c>
      <c r="J3" s="2" t="s">
        <v>72</v>
      </c>
      <c r="K3" s="2">
        <v>27</v>
      </c>
      <c r="M3" s="2" t="s">
        <v>75</v>
      </c>
      <c r="N3" s="2">
        <v>1287</v>
      </c>
      <c r="O3" s="47">
        <v>50000</v>
      </c>
      <c r="P3" s="47">
        <v>5</v>
      </c>
      <c r="Q3" s="47">
        <v>5</v>
      </c>
      <c r="R3" s="47">
        <v>5</v>
      </c>
      <c r="S3" s="47">
        <v>5</v>
      </c>
    </row>
    <row r="4" spans="1:19">
      <c r="A4" s="2" t="s">
        <v>108</v>
      </c>
      <c r="B4" s="2" t="s">
        <v>111</v>
      </c>
      <c r="C4" s="2" t="s">
        <v>112</v>
      </c>
      <c r="D4" s="2" t="s">
        <v>72</v>
      </c>
      <c r="E4" s="2">
        <v>27</v>
      </c>
      <c r="G4" s="2" t="s">
        <v>118</v>
      </c>
      <c r="H4" s="2" t="s">
        <v>110</v>
      </c>
      <c r="I4" s="2" t="s">
        <v>71</v>
      </c>
      <c r="J4" s="2" t="s">
        <v>72</v>
      </c>
      <c r="K4" s="2">
        <v>27</v>
      </c>
      <c r="M4" s="2" t="s">
        <v>76</v>
      </c>
      <c r="N4" s="2">
        <v>3465</v>
      </c>
      <c r="O4" s="47">
        <v>30000</v>
      </c>
      <c r="P4" s="47">
        <v>3</v>
      </c>
      <c r="Q4" s="47">
        <v>3</v>
      </c>
      <c r="R4" s="47">
        <v>3</v>
      </c>
      <c r="S4" s="47">
        <v>3</v>
      </c>
    </row>
    <row r="5" spans="1:19">
      <c r="A5" s="2" t="s">
        <v>113</v>
      </c>
      <c r="B5" s="2" t="s">
        <v>114</v>
      </c>
      <c r="C5" s="2" t="s">
        <v>92</v>
      </c>
      <c r="D5" s="2" t="s">
        <v>93</v>
      </c>
      <c r="E5" s="2">
        <v>7</v>
      </c>
      <c r="G5" s="2" t="s">
        <v>119</v>
      </c>
      <c r="H5" s="2" t="s">
        <v>110</v>
      </c>
      <c r="I5" s="2" t="s">
        <v>71</v>
      </c>
      <c r="J5" s="2" t="s">
        <v>72</v>
      </c>
      <c r="K5" s="2">
        <v>27</v>
      </c>
      <c r="M5" s="2" t="s">
        <v>70</v>
      </c>
      <c r="N5" s="2">
        <v>3465</v>
      </c>
      <c r="O5" s="47">
        <v>300000</v>
      </c>
      <c r="P5" s="47">
        <v>3</v>
      </c>
      <c r="Q5" s="47">
        <v>3</v>
      </c>
      <c r="R5" s="47">
        <v>3</v>
      </c>
      <c r="S5" s="47">
        <v>3</v>
      </c>
    </row>
    <row r="6" spans="1:19">
      <c r="A6" s="2" t="s">
        <v>115</v>
      </c>
      <c r="B6" s="2" t="s">
        <v>116</v>
      </c>
      <c r="C6" s="2" t="s">
        <v>102</v>
      </c>
      <c r="D6" s="2" t="s">
        <v>103</v>
      </c>
      <c r="E6" s="2">
        <v>13</v>
      </c>
      <c r="G6" s="2" t="s">
        <v>120</v>
      </c>
      <c r="H6" s="2" t="s">
        <v>121</v>
      </c>
      <c r="I6" s="2" t="s">
        <v>92</v>
      </c>
      <c r="J6" s="2" t="s">
        <v>93</v>
      </c>
      <c r="K6" s="2">
        <v>7</v>
      </c>
      <c r="M6" s="2" t="s">
        <v>77</v>
      </c>
      <c r="N6" s="2">
        <v>9087</v>
      </c>
      <c r="O6" s="47">
        <v>30000</v>
      </c>
      <c r="P6" s="47">
        <v>4</v>
      </c>
      <c r="Q6" s="47">
        <v>4</v>
      </c>
      <c r="R6" s="47">
        <v>4</v>
      </c>
      <c r="S6" s="47">
        <v>4</v>
      </c>
    </row>
    <row r="7" spans="1:19">
      <c r="A7" s="2" t="s">
        <v>126</v>
      </c>
      <c r="B7" s="2" t="s">
        <v>125</v>
      </c>
      <c r="C7" s="2" t="s">
        <v>92</v>
      </c>
      <c r="D7" s="2" t="s">
        <v>93</v>
      </c>
      <c r="E7" s="2">
        <v>7</v>
      </c>
      <c r="G7" s="2" t="s">
        <v>105</v>
      </c>
      <c r="H7" s="2" t="s">
        <v>122</v>
      </c>
      <c r="I7" s="2" t="s">
        <v>123</v>
      </c>
      <c r="J7" s="2" t="s">
        <v>106</v>
      </c>
      <c r="K7" s="2">
        <v>14</v>
      </c>
      <c r="M7" s="2" t="s">
        <v>94</v>
      </c>
      <c r="N7" s="2">
        <v>1287</v>
      </c>
      <c r="O7" s="47">
        <v>23000</v>
      </c>
      <c r="P7" s="47">
        <v>5</v>
      </c>
      <c r="Q7" s="47">
        <v>5</v>
      </c>
      <c r="R7" s="47">
        <v>5</v>
      </c>
      <c r="S7" s="47">
        <v>5</v>
      </c>
    </row>
    <row r="8" spans="1:19">
      <c r="M8" s="2" t="s">
        <v>104</v>
      </c>
      <c r="N8" s="2">
        <v>4566</v>
      </c>
      <c r="O8" s="47">
        <v>20</v>
      </c>
      <c r="P8" s="47">
        <v>5</v>
      </c>
      <c r="Q8" s="47">
        <v>5</v>
      </c>
      <c r="R8" s="47">
        <v>6</v>
      </c>
      <c r="S8" s="47">
        <v>2</v>
      </c>
    </row>
  </sheetData>
  <mergeCells count="3">
    <mergeCell ref="A1:E1"/>
    <mergeCell ref="G1:K1"/>
    <mergeCell ref="M1:S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R23"/>
  <sheetViews>
    <sheetView showGridLines="0" showRowColHeaders="0" workbookViewId="0">
      <selection activeCell="O13" sqref="O13"/>
    </sheetView>
  </sheetViews>
  <sheetFormatPr defaultRowHeight="14.5"/>
  <cols>
    <col min="8" max="8" width="8.7265625" customWidth="1"/>
    <col min="9" max="9" width="16.7265625" customWidth="1"/>
  </cols>
  <sheetData>
    <row r="2" spans="2:18">
      <c r="B2" s="72" t="s">
        <v>28</v>
      </c>
      <c r="C2" s="72"/>
      <c r="D2" s="72"/>
      <c r="E2" s="72"/>
      <c r="F2" s="72"/>
      <c r="G2" s="4"/>
      <c r="I2" s="68" t="s">
        <v>7</v>
      </c>
      <c r="J2" s="69"/>
      <c r="K2" s="70"/>
      <c r="N2" s="72" t="s">
        <v>29</v>
      </c>
      <c r="O2" s="72"/>
      <c r="P2" s="72"/>
      <c r="Q2" s="72"/>
      <c r="R2" s="72"/>
    </row>
    <row r="3" spans="2:18">
      <c r="B3" s="60" t="s">
        <v>0</v>
      </c>
      <c r="C3" s="61"/>
      <c r="D3" s="71"/>
      <c r="E3" s="71"/>
      <c r="F3" s="71"/>
      <c r="G3" s="3"/>
      <c r="I3" s="22" t="s">
        <v>7</v>
      </c>
      <c r="J3" s="62"/>
      <c r="K3" s="64"/>
      <c r="N3" s="67" t="s">
        <v>0</v>
      </c>
      <c r="O3" s="67"/>
      <c r="P3" s="71"/>
      <c r="Q3" s="71"/>
      <c r="R3" s="71"/>
    </row>
    <row r="4" spans="2:18">
      <c r="B4" s="60" t="s">
        <v>1</v>
      </c>
      <c r="C4" s="61"/>
      <c r="D4" s="71"/>
      <c r="E4" s="71"/>
      <c r="F4" s="71"/>
      <c r="G4" s="3"/>
      <c r="I4" s="22" t="s">
        <v>8</v>
      </c>
      <c r="J4" s="62"/>
      <c r="K4" s="64"/>
      <c r="N4" s="67" t="s">
        <v>1</v>
      </c>
      <c r="O4" s="67"/>
      <c r="P4" s="71"/>
      <c r="Q4" s="71"/>
      <c r="R4" s="71"/>
    </row>
    <row r="5" spans="2:18">
      <c r="B5" s="67" t="s">
        <v>2</v>
      </c>
      <c r="C5" s="67"/>
      <c r="D5" s="71"/>
      <c r="E5" s="71"/>
      <c r="F5" s="71"/>
      <c r="G5" s="3"/>
      <c r="I5" s="27" t="s">
        <v>100</v>
      </c>
      <c r="J5" s="65"/>
      <c r="K5" s="66"/>
      <c r="N5" s="67" t="s">
        <v>2</v>
      </c>
      <c r="O5" s="67"/>
      <c r="P5" s="71"/>
      <c r="Q5" s="71"/>
      <c r="R5" s="71"/>
    </row>
    <row r="6" spans="2:18">
      <c r="B6" s="67" t="s">
        <v>5</v>
      </c>
      <c r="C6" s="67"/>
      <c r="D6" s="71"/>
      <c r="E6" s="71"/>
      <c r="F6" s="71"/>
      <c r="G6" s="3"/>
      <c r="I6" s="22" t="s">
        <v>96</v>
      </c>
      <c r="J6" s="65"/>
      <c r="K6" s="66"/>
      <c r="N6" s="67" t="s">
        <v>5</v>
      </c>
      <c r="O6" s="67"/>
      <c r="P6" s="71"/>
      <c r="Q6" s="71"/>
      <c r="R6" s="71"/>
    </row>
    <row r="7" spans="2:18">
      <c r="B7" s="67" t="s">
        <v>6</v>
      </c>
      <c r="C7" s="67"/>
      <c r="D7" s="71"/>
      <c r="E7" s="71"/>
      <c r="F7" s="71"/>
      <c r="G7" s="3"/>
      <c r="I7" s="50" t="s">
        <v>97</v>
      </c>
      <c r="J7" s="65"/>
      <c r="K7" s="66"/>
      <c r="N7" s="67" t="s">
        <v>6</v>
      </c>
      <c r="O7" s="67"/>
      <c r="P7" s="71"/>
      <c r="Q7" s="71"/>
      <c r="R7" s="71"/>
    </row>
    <row r="8" spans="2:18">
      <c r="I8" s="22" t="s">
        <v>98</v>
      </c>
      <c r="J8" s="65"/>
      <c r="K8" s="66"/>
    </row>
    <row r="9" spans="2:18">
      <c r="I9" s="28" t="s">
        <v>99</v>
      </c>
      <c r="J9" s="65"/>
      <c r="K9" s="66"/>
    </row>
    <row r="13" spans="2:18">
      <c r="H13" s="4"/>
    </row>
    <row r="16" spans="2:18">
      <c r="I16" s="68" t="s">
        <v>69</v>
      </c>
      <c r="J16" s="69"/>
      <c r="K16" s="70"/>
    </row>
    <row r="17" spans="2:18">
      <c r="B17" s="68" t="s">
        <v>67</v>
      </c>
      <c r="C17" s="69"/>
      <c r="D17" s="69"/>
      <c r="E17" s="69"/>
      <c r="F17" s="70"/>
      <c r="I17" s="22" t="s">
        <v>7</v>
      </c>
      <c r="J17" s="62"/>
      <c r="K17" s="64"/>
      <c r="N17" s="68" t="s">
        <v>68</v>
      </c>
      <c r="O17" s="69"/>
      <c r="P17" s="69"/>
      <c r="Q17" s="69"/>
      <c r="R17" s="70"/>
    </row>
    <row r="18" spans="2:18">
      <c r="B18" s="60" t="s">
        <v>1</v>
      </c>
      <c r="C18" s="61"/>
      <c r="D18" s="62"/>
      <c r="E18" s="63"/>
      <c r="F18" s="64"/>
      <c r="H18" s="3"/>
      <c r="I18" s="22" t="s">
        <v>8</v>
      </c>
      <c r="J18" s="62"/>
      <c r="K18" s="64"/>
      <c r="N18" s="60" t="s">
        <v>1</v>
      </c>
      <c r="O18" s="61"/>
      <c r="P18" s="62"/>
      <c r="Q18" s="63"/>
      <c r="R18" s="64"/>
    </row>
    <row r="19" spans="2:18">
      <c r="B19" s="60" t="s">
        <v>0</v>
      </c>
      <c r="C19" s="61"/>
      <c r="D19" s="62"/>
      <c r="E19" s="63"/>
      <c r="F19" s="64"/>
      <c r="H19" s="3"/>
      <c r="I19" s="27" t="s">
        <v>101</v>
      </c>
      <c r="J19" s="65"/>
      <c r="K19" s="66"/>
      <c r="N19" s="60" t="s">
        <v>0</v>
      </c>
      <c r="O19" s="61"/>
      <c r="P19" s="62"/>
      <c r="Q19" s="63"/>
      <c r="R19" s="64"/>
    </row>
    <row r="20" spans="2:18">
      <c r="B20" s="60" t="s">
        <v>2</v>
      </c>
      <c r="C20" s="61"/>
      <c r="D20" s="62"/>
      <c r="E20" s="63"/>
      <c r="F20" s="64"/>
      <c r="H20" s="3"/>
      <c r="I20" s="22" t="s">
        <v>96</v>
      </c>
      <c r="J20" s="65"/>
      <c r="K20" s="66"/>
      <c r="N20" s="60" t="s">
        <v>2</v>
      </c>
      <c r="O20" s="61"/>
      <c r="P20" s="62"/>
      <c r="Q20" s="63"/>
      <c r="R20" s="64"/>
    </row>
    <row r="21" spans="2:18">
      <c r="B21" s="60" t="s">
        <v>5</v>
      </c>
      <c r="C21" s="61"/>
      <c r="D21" s="62"/>
      <c r="E21" s="63"/>
      <c r="F21" s="64"/>
      <c r="H21" s="3"/>
      <c r="I21" s="22" t="s">
        <v>97</v>
      </c>
      <c r="J21" s="65"/>
      <c r="K21" s="66"/>
      <c r="N21" s="60" t="s">
        <v>5</v>
      </c>
      <c r="O21" s="61"/>
      <c r="P21" s="62"/>
      <c r="Q21" s="63"/>
      <c r="R21" s="64"/>
    </row>
    <row r="22" spans="2:18">
      <c r="B22" s="60" t="s">
        <v>6</v>
      </c>
      <c r="C22" s="61"/>
      <c r="D22" s="62"/>
      <c r="E22" s="63"/>
      <c r="F22" s="64"/>
      <c r="H22" s="3"/>
      <c r="I22" s="22" t="s">
        <v>98</v>
      </c>
      <c r="J22" s="65"/>
      <c r="K22" s="66"/>
      <c r="N22" s="60" t="s">
        <v>6</v>
      </c>
      <c r="O22" s="61"/>
      <c r="P22" s="62"/>
      <c r="Q22" s="63"/>
      <c r="R22" s="64"/>
    </row>
    <row r="23" spans="2:18">
      <c r="I23" s="28" t="s">
        <v>99</v>
      </c>
      <c r="J23" s="65"/>
      <c r="K23" s="66"/>
    </row>
  </sheetData>
  <sheetProtection formatCells="0"/>
  <mergeCells count="60">
    <mergeCell ref="J23:K23"/>
    <mergeCell ref="J22:K22"/>
    <mergeCell ref="I16:K16"/>
    <mergeCell ref="J17:K17"/>
    <mergeCell ref="D3:F3"/>
    <mergeCell ref="D4:F4"/>
    <mergeCell ref="D5:F5"/>
    <mergeCell ref="D6:F6"/>
    <mergeCell ref="D7:F7"/>
    <mergeCell ref="J18:K18"/>
    <mergeCell ref="J19:K19"/>
    <mergeCell ref="J20:K20"/>
    <mergeCell ref="J21:K21"/>
    <mergeCell ref="J7:K7"/>
    <mergeCell ref="D22:F22"/>
    <mergeCell ref="B17:F17"/>
    <mergeCell ref="B18:C18"/>
    <mergeCell ref="B19:C19"/>
    <mergeCell ref="B20:C20"/>
    <mergeCell ref="D20:F20"/>
    <mergeCell ref="B22:C22"/>
    <mergeCell ref="D18:F18"/>
    <mergeCell ref="D19:F19"/>
    <mergeCell ref="B21:C21"/>
    <mergeCell ref="D21:F21"/>
    <mergeCell ref="B2:F2"/>
    <mergeCell ref="B3:C3"/>
    <mergeCell ref="B4:C4"/>
    <mergeCell ref="B5:C5"/>
    <mergeCell ref="N2:R2"/>
    <mergeCell ref="N3:O3"/>
    <mergeCell ref="I2:K2"/>
    <mergeCell ref="J3:K3"/>
    <mergeCell ref="J4:K4"/>
    <mergeCell ref="J5:K5"/>
    <mergeCell ref="B6:C6"/>
    <mergeCell ref="B7:C7"/>
    <mergeCell ref="P3:R3"/>
    <mergeCell ref="P4:R4"/>
    <mergeCell ref="P5:R5"/>
    <mergeCell ref="P6:R6"/>
    <mergeCell ref="P7:R7"/>
    <mergeCell ref="N4:O4"/>
    <mergeCell ref="N5:O5"/>
    <mergeCell ref="N6:O6"/>
    <mergeCell ref="J6:K6"/>
    <mergeCell ref="J8:K8"/>
    <mergeCell ref="N7:O7"/>
    <mergeCell ref="N17:R17"/>
    <mergeCell ref="N18:O18"/>
    <mergeCell ref="N19:O19"/>
    <mergeCell ref="P18:R18"/>
    <mergeCell ref="P19:R19"/>
    <mergeCell ref="J9:K9"/>
    <mergeCell ref="N22:O22"/>
    <mergeCell ref="P22:R22"/>
    <mergeCell ref="N20:O20"/>
    <mergeCell ref="P20:R20"/>
    <mergeCell ref="N21:O21"/>
    <mergeCell ref="P21:R21"/>
  </mergeCells>
  <dataValidations count="4">
    <dataValidation type="list" allowBlank="1" showInputMessage="1" showErrorMessage="1" sqref="D17">
      <formula1>"Saurabh,Sanjay,Rajesh,Sagar,Sid,,,,,"</formula1>
    </dataValidation>
    <dataValidation type="list" allowBlank="1" showInputMessage="1" showErrorMessage="1" sqref="J17">
      <formula1>"Bike,Cycle,Car,Tyre,Laptop,ToothPaste,,,,"</formula1>
    </dataValidation>
    <dataValidation type="list" allowBlank="1" showInputMessage="1" showErrorMessage="1" sqref="P18">
      <formula1>"Sagar &amp; Co,Nishi Traders,Rajesh Transport,Sandeep oil traders,Siddesh And Co,,,,"</formula1>
    </dataValidation>
    <dataValidation type="list" allowBlank="1" showInputMessage="1" showErrorMessage="1" sqref="D18">
      <formula1>"Sanjay &amp; Co,Saurabh Traders,Rakesh Corp,ABC corp,GSTN,,,"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3:T25"/>
  <sheetViews>
    <sheetView showGridLines="0" showRowColHeaders="0" tabSelected="1" workbookViewId="0">
      <selection activeCell="B3" sqref="B3:T4"/>
    </sheetView>
  </sheetViews>
  <sheetFormatPr defaultRowHeight="14.5"/>
  <sheetData>
    <row r="3" spans="2:20">
      <c r="B3" s="73" t="s">
        <v>124</v>
      </c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</row>
    <row r="4" spans="2:20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</row>
    <row r="25" spans="6:6">
      <c r="F25" t="s">
        <v>109</v>
      </c>
    </row>
  </sheetData>
  <mergeCells count="1">
    <mergeCell ref="B3:T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0</xdr:col>
                    <xdr:colOff>387350</xdr:colOff>
                    <xdr:row>2</xdr:row>
                    <xdr:rowOff>0</xdr:rowOff>
                  </from>
                  <to>
                    <xdr:col>20</xdr:col>
                    <xdr:colOff>6350</xdr:colOff>
                    <xdr:row>23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Group Box 2">
              <controlPr defaultSize="0" autoFill="0" autoPict="0">
                <anchor moveWithCells="1">
                  <from>
                    <xdr:col>1</xdr:col>
                    <xdr:colOff>241300</xdr:colOff>
                    <xdr:row>8</xdr:row>
                    <xdr:rowOff>38100</xdr:rowOff>
                  </from>
                  <to>
                    <xdr:col>5</xdr:col>
                    <xdr:colOff>63500</xdr:colOff>
                    <xdr:row>14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Group Box 3">
              <controlPr defaultSize="0" autoFill="0" autoPict="0">
                <anchor moveWithCells="1">
                  <from>
                    <xdr:col>6</xdr:col>
                    <xdr:colOff>50800</xdr:colOff>
                    <xdr:row>8</xdr:row>
                    <xdr:rowOff>38100</xdr:rowOff>
                  </from>
                  <to>
                    <xdr:col>9</xdr:col>
                    <xdr:colOff>279400</xdr:colOff>
                    <xdr:row>14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Group Box 4">
              <controlPr defaultSize="0" autoFill="0" autoPict="0">
                <anchor moveWithCells="1">
                  <from>
                    <xdr:col>10</xdr:col>
                    <xdr:colOff>374650</xdr:colOff>
                    <xdr:row>8</xdr:row>
                    <xdr:rowOff>38100</xdr:rowOff>
                  </from>
                  <to>
                    <xdr:col>14</xdr:col>
                    <xdr:colOff>196850</xdr:colOff>
                    <xdr:row>14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Group Box 5">
              <controlPr defaultSize="0" autoFill="0" autoPict="0">
                <anchor moveWithCells="1">
                  <from>
                    <xdr:col>15</xdr:col>
                    <xdr:colOff>292100</xdr:colOff>
                    <xdr:row>8</xdr:row>
                    <xdr:rowOff>63500</xdr:rowOff>
                  </from>
                  <to>
                    <xdr:col>19</xdr:col>
                    <xdr:colOff>114300</xdr:colOff>
                    <xdr:row>14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DC37"/>
  <sheetViews>
    <sheetView showGridLines="0" showRowColHeaders="0" zoomScale="85" zoomScaleNormal="85" workbookViewId="0">
      <selection activeCell="B4" sqref="B4:U4"/>
    </sheetView>
  </sheetViews>
  <sheetFormatPr defaultRowHeight="14.5"/>
  <cols>
    <col min="1" max="1" width="5.7265625" customWidth="1"/>
    <col min="2" max="2" width="3.81640625" customWidth="1"/>
    <col min="4" max="4" width="13.453125" customWidth="1"/>
    <col min="5" max="5" width="10.81640625" customWidth="1"/>
    <col min="6" max="6" width="11.26953125" customWidth="1"/>
    <col min="11" max="11" width="10.453125" bestFit="1" customWidth="1"/>
    <col min="12" max="12" width="11.7265625" hidden="1" customWidth="1"/>
    <col min="21" max="21" width="3.7265625" customWidth="1"/>
    <col min="26" max="16249" width="0" hidden="1" customWidth="1"/>
    <col min="16250" max="16250" width="0.54296875" hidden="1" customWidth="1"/>
    <col min="16251" max="16285" width="9.1796875" hidden="1" customWidth="1"/>
    <col min="16286" max="16286" width="0.453125" hidden="1" customWidth="1"/>
    <col min="16287" max="16304" width="9.1796875" hidden="1" customWidth="1"/>
    <col min="16305" max="16305" width="5.54296875" hidden="1" customWidth="1"/>
    <col min="16306" max="16330" width="9.1796875" hidden="1" customWidth="1"/>
    <col min="16331" max="16331" width="1.453125" hidden="1" customWidth="1"/>
    <col min="16332" max="16384" width="9.1796875" hidden="1" customWidth="1"/>
  </cols>
  <sheetData>
    <row r="1" spans="2:22" ht="15" thickBot="1"/>
    <row r="2" spans="2:22" ht="15" thickBot="1">
      <c r="B2" s="105" t="s">
        <v>83</v>
      </c>
      <c r="C2" s="106"/>
      <c r="D2" s="107"/>
      <c r="E2" s="105" t="s">
        <v>95</v>
      </c>
      <c r="F2" s="106"/>
      <c r="G2" s="107"/>
    </row>
    <row r="3" spans="2:22" ht="15" thickBot="1">
      <c r="V3" s="2"/>
    </row>
    <row r="4" spans="2:22" ht="21.5" thickBot="1">
      <c r="B4" s="85" t="str">
        <f>E2 &amp; " Invoice"</f>
        <v>B2B Invoice</v>
      </c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7"/>
      <c r="V4" s="2"/>
    </row>
    <row r="5" spans="2:22">
      <c r="B5" s="17"/>
      <c r="C5" s="31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3"/>
      <c r="U5" s="18"/>
      <c r="V5" s="2"/>
    </row>
    <row r="6" spans="2:22">
      <c r="B6" s="8"/>
      <c r="C6" s="95" t="s">
        <v>81</v>
      </c>
      <c r="D6" s="94"/>
      <c r="E6" s="94"/>
      <c r="F6" s="29"/>
      <c r="G6" s="79"/>
      <c r="H6" s="80"/>
      <c r="I6" s="80"/>
      <c r="J6" s="81"/>
      <c r="K6" s="2"/>
      <c r="L6" s="26"/>
      <c r="M6" s="2"/>
      <c r="N6" s="2"/>
      <c r="O6" s="2"/>
      <c r="P6" s="2"/>
      <c r="Q6" s="2"/>
      <c r="R6" s="2"/>
      <c r="S6" s="2"/>
      <c r="T6" s="9"/>
      <c r="U6" s="9"/>
      <c r="V6" s="2"/>
    </row>
    <row r="7" spans="2:22">
      <c r="B7" s="8"/>
      <c r="C7" s="95" t="s">
        <v>80</v>
      </c>
      <c r="D7" s="94"/>
      <c r="E7" s="94"/>
      <c r="F7" s="29"/>
      <c r="G7" s="76" t="str">
        <f>IFERROR(VLOOKUP(G6,MasterData!$G$3:$K$1048576,2,0),"")</f>
        <v/>
      </c>
      <c r="H7" s="77"/>
      <c r="I7" s="77"/>
      <c r="J7" s="78"/>
      <c r="K7" s="2"/>
      <c r="L7" s="26"/>
      <c r="M7" s="2"/>
      <c r="N7" s="2"/>
      <c r="O7" s="2"/>
      <c r="P7" s="2"/>
      <c r="Q7" s="2"/>
      <c r="R7" s="2"/>
      <c r="S7" s="2"/>
      <c r="T7" s="9"/>
      <c r="U7" s="9"/>
      <c r="V7" s="2"/>
    </row>
    <row r="8" spans="2:22">
      <c r="B8" s="8"/>
      <c r="C8" s="95" t="s">
        <v>40</v>
      </c>
      <c r="D8" s="94"/>
      <c r="E8" s="94"/>
      <c r="F8" s="29"/>
      <c r="G8" s="76" t="str">
        <f>IFERROR(VLOOKUP(G6,MasterData!$G$3:$K$1048576,3,0),"")</f>
        <v/>
      </c>
      <c r="H8" s="77"/>
      <c r="I8" s="77"/>
      <c r="J8" s="78"/>
      <c r="K8" s="2"/>
      <c r="L8" s="26"/>
      <c r="M8" s="2"/>
      <c r="N8" s="2"/>
      <c r="O8" s="2"/>
      <c r="P8" s="2"/>
      <c r="Q8" s="2"/>
      <c r="R8" s="2"/>
      <c r="S8" s="2"/>
      <c r="T8" s="9"/>
      <c r="U8" s="9"/>
      <c r="V8" s="2"/>
    </row>
    <row r="9" spans="2:22">
      <c r="B9" s="8"/>
      <c r="C9" s="95" t="s">
        <v>41</v>
      </c>
      <c r="D9" s="94"/>
      <c r="E9" s="94"/>
      <c r="F9" s="29"/>
      <c r="G9" s="79">
        <f>LOOKUP(2,1/(GSTR1!AB:AB&lt;&gt;""),GSTR1!AB:AB) + 1</f>
        <v>1005</v>
      </c>
      <c r="H9" s="80"/>
      <c r="I9" s="80"/>
      <c r="J9" s="81"/>
      <c r="K9" s="2"/>
      <c r="L9" s="26"/>
      <c r="M9" s="2"/>
      <c r="N9" s="2"/>
      <c r="O9" s="2"/>
      <c r="P9" s="2"/>
      <c r="Q9" s="2"/>
      <c r="R9" s="2"/>
      <c r="S9" s="2"/>
      <c r="T9" s="9"/>
      <c r="U9" s="9"/>
      <c r="V9" s="2"/>
    </row>
    <row r="10" spans="2:22">
      <c r="B10" s="8"/>
      <c r="C10" s="95" t="s">
        <v>42</v>
      </c>
      <c r="D10" s="94"/>
      <c r="E10" s="94"/>
      <c r="F10" s="29"/>
      <c r="G10" s="82">
        <f ca="1">NOW()</f>
        <v>42823.578052083336</v>
      </c>
      <c r="H10" s="83"/>
      <c r="I10" s="83"/>
      <c r="J10" s="84"/>
      <c r="K10" s="2" t="s">
        <v>109</v>
      </c>
      <c r="L10" s="26"/>
      <c r="M10" s="2"/>
      <c r="N10" s="2"/>
      <c r="O10" s="2"/>
      <c r="P10" s="2"/>
      <c r="Q10" s="2"/>
      <c r="R10" s="2"/>
      <c r="S10" s="2"/>
      <c r="T10" s="9"/>
      <c r="U10" s="9"/>
      <c r="V10" s="2"/>
    </row>
    <row r="11" spans="2:22">
      <c r="B11" s="8"/>
      <c r="C11" s="8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9"/>
      <c r="U11" s="9"/>
      <c r="V11" s="2"/>
    </row>
    <row r="12" spans="2:22">
      <c r="B12" s="8"/>
      <c r="C12" s="13" t="s">
        <v>30</v>
      </c>
      <c r="D12" s="2"/>
      <c r="E12" s="2"/>
      <c r="F12" s="2"/>
      <c r="G12" s="2"/>
      <c r="H12" s="2"/>
      <c r="I12" s="2"/>
      <c r="J12" s="2"/>
      <c r="K12" s="2"/>
      <c r="L12" s="2"/>
      <c r="M12" s="14"/>
      <c r="N12" s="14" t="s">
        <v>31</v>
      </c>
      <c r="O12" s="2"/>
      <c r="P12" s="2"/>
      <c r="Q12" s="2"/>
      <c r="R12" s="2"/>
      <c r="S12" s="2"/>
      <c r="T12" s="9"/>
      <c r="U12" s="9"/>
      <c r="V12" s="2"/>
    </row>
    <row r="13" spans="2:22">
      <c r="B13" s="8"/>
      <c r="C13" s="95" t="s">
        <v>43</v>
      </c>
      <c r="D13" s="94"/>
      <c r="E13" s="94"/>
      <c r="F13" s="29"/>
      <c r="G13" s="79"/>
      <c r="H13" s="80"/>
      <c r="I13" s="80"/>
      <c r="J13" s="81"/>
      <c r="K13" s="2"/>
      <c r="L13" s="26"/>
      <c r="M13" s="2"/>
      <c r="N13" s="94" t="s">
        <v>43</v>
      </c>
      <c r="O13" s="94"/>
      <c r="P13" s="94"/>
      <c r="Q13" s="74"/>
      <c r="R13" s="74"/>
      <c r="S13" s="74"/>
      <c r="T13" s="75"/>
      <c r="U13" s="9"/>
      <c r="V13" s="2"/>
    </row>
    <row r="14" spans="2:22">
      <c r="B14" s="8"/>
      <c r="C14" s="95" t="s">
        <v>44</v>
      </c>
      <c r="D14" s="94"/>
      <c r="E14" s="94"/>
      <c r="F14" s="29"/>
      <c r="G14" s="76" t="str">
        <f>IFERROR(VLOOKUP(G13,MasterData!$A$3:$E$1048576,3,0),"")</f>
        <v/>
      </c>
      <c r="H14" s="77"/>
      <c r="I14" s="77"/>
      <c r="J14" s="78"/>
      <c r="K14" s="2"/>
      <c r="L14" s="26"/>
      <c r="M14" s="2"/>
      <c r="N14" s="94" t="s">
        <v>44</v>
      </c>
      <c r="O14" s="94"/>
      <c r="P14" s="94"/>
      <c r="Q14" s="76" t="str">
        <f>IFERROR(VLOOKUP(Q13,MasterData!$A$3:$E$1048576,3,0),"")</f>
        <v/>
      </c>
      <c r="R14" s="77"/>
      <c r="S14" s="77"/>
      <c r="T14" s="102"/>
      <c r="U14" s="9"/>
      <c r="V14" s="2"/>
    </row>
    <row r="15" spans="2:22">
      <c r="B15" s="8"/>
      <c r="C15" s="95" t="s">
        <v>45</v>
      </c>
      <c r="D15" s="94"/>
      <c r="E15" s="94"/>
      <c r="F15" s="29"/>
      <c r="G15" s="76" t="str">
        <f>IFERROR(VLOOKUP(G13,MasterData!$A$3:$E$1048576,4,0),"")</f>
        <v/>
      </c>
      <c r="H15" s="77"/>
      <c r="I15" s="77"/>
      <c r="J15" s="78"/>
      <c r="K15" s="2"/>
      <c r="L15" s="26"/>
      <c r="M15" s="2"/>
      <c r="N15" s="94" t="s">
        <v>45</v>
      </c>
      <c r="O15" s="94"/>
      <c r="P15" s="94"/>
      <c r="Q15" s="76" t="str">
        <f>IFERROR(VLOOKUP(Q13,MasterData!$A$3:$E$1048576,4,0),"")</f>
        <v/>
      </c>
      <c r="R15" s="77"/>
      <c r="S15" s="77"/>
      <c r="T15" s="102"/>
      <c r="U15" s="9"/>
      <c r="V15" s="2"/>
    </row>
    <row r="16" spans="2:22">
      <c r="B16" s="8"/>
      <c r="C16" s="95" t="s">
        <v>46</v>
      </c>
      <c r="D16" s="94"/>
      <c r="E16" s="94"/>
      <c r="F16" s="29"/>
      <c r="G16" s="76" t="str">
        <f>IFERROR(VLOOKUP(G13,MasterData!$A$3:$E$1048576,5,0),"")</f>
        <v/>
      </c>
      <c r="H16" s="77"/>
      <c r="I16" s="77"/>
      <c r="J16" s="78"/>
      <c r="K16" s="2"/>
      <c r="L16" s="26"/>
      <c r="M16" s="2"/>
      <c r="N16" s="94" t="s">
        <v>46</v>
      </c>
      <c r="O16" s="94"/>
      <c r="P16" s="94"/>
      <c r="Q16" s="76" t="str">
        <f>IFERROR(VLOOKUP(Q13,MasterData!$A$3:$E$1048576,5,0),"")</f>
        <v/>
      </c>
      <c r="R16" s="77"/>
      <c r="S16" s="77"/>
      <c r="T16" s="102"/>
      <c r="U16" s="9"/>
      <c r="V16" s="2"/>
    </row>
    <row r="17" spans="2:22">
      <c r="B17" s="8"/>
      <c r="C17" s="95" t="s">
        <v>47</v>
      </c>
      <c r="D17" s="94"/>
      <c r="E17" s="94"/>
      <c r="F17" s="29"/>
      <c r="G17" s="76" t="str">
        <f>IFERROR(VLOOKUP(G13,MasterData!$A$3:$E$1048576,2,0),"")</f>
        <v/>
      </c>
      <c r="H17" s="77"/>
      <c r="I17" s="77"/>
      <c r="J17" s="78"/>
      <c r="K17" s="2"/>
      <c r="L17" s="26"/>
      <c r="M17" s="2"/>
      <c r="N17" s="94" t="s">
        <v>47</v>
      </c>
      <c r="O17" s="94"/>
      <c r="P17" s="94"/>
      <c r="Q17" s="76" t="str">
        <f>IFERROR(VLOOKUP(Q13,MasterData!$A$3:$E$1048576,2,0),"")</f>
        <v/>
      </c>
      <c r="R17" s="77"/>
      <c r="S17" s="77"/>
      <c r="T17" s="102"/>
      <c r="U17" s="9"/>
      <c r="V17" s="2"/>
    </row>
    <row r="18" spans="2:22" ht="15" thickBot="1">
      <c r="B18" s="8"/>
      <c r="C18" s="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9"/>
      <c r="U18" s="9"/>
      <c r="V18" s="2"/>
    </row>
    <row r="19" spans="2:22" ht="15" customHeight="1">
      <c r="B19" s="8"/>
      <c r="C19" s="90" t="s">
        <v>33</v>
      </c>
      <c r="D19" s="88" t="s">
        <v>48</v>
      </c>
      <c r="E19" s="88" t="s">
        <v>34</v>
      </c>
      <c r="F19" s="88" t="s">
        <v>73</v>
      </c>
      <c r="G19" s="88" t="s">
        <v>74</v>
      </c>
      <c r="H19" s="88" t="s">
        <v>49</v>
      </c>
      <c r="I19" s="88" t="s">
        <v>32</v>
      </c>
      <c r="J19" s="88" t="s">
        <v>51</v>
      </c>
      <c r="K19" s="88" t="s">
        <v>50</v>
      </c>
      <c r="L19" s="88" t="s">
        <v>56</v>
      </c>
      <c r="M19" s="92" t="s">
        <v>61</v>
      </c>
      <c r="N19" s="93"/>
      <c r="O19" s="92" t="s">
        <v>35</v>
      </c>
      <c r="P19" s="93"/>
      <c r="Q19" s="92" t="s">
        <v>36</v>
      </c>
      <c r="R19" s="93"/>
      <c r="S19" s="92" t="s">
        <v>37</v>
      </c>
      <c r="T19" s="103"/>
      <c r="U19" s="9"/>
      <c r="V19" s="2"/>
    </row>
    <row r="20" spans="2:22">
      <c r="B20" s="8"/>
      <c r="C20" s="91"/>
      <c r="D20" s="89"/>
      <c r="E20" s="89"/>
      <c r="F20" s="89"/>
      <c r="G20" s="89"/>
      <c r="H20" s="89"/>
      <c r="I20" s="89"/>
      <c r="J20" s="89"/>
      <c r="K20" s="89"/>
      <c r="L20" s="89"/>
      <c r="M20" s="15" t="s">
        <v>38</v>
      </c>
      <c r="N20" s="15" t="s">
        <v>39</v>
      </c>
      <c r="O20" s="15" t="s">
        <v>38</v>
      </c>
      <c r="P20" s="15" t="s">
        <v>39</v>
      </c>
      <c r="Q20" s="15" t="s">
        <v>38</v>
      </c>
      <c r="R20" s="15" t="s">
        <v>39</v>
      </c>
      <c r="S20" s="15" t="s">
        <v>38</v>
      </c>
      <c r="T20" s="16" t="s">
        <v>39</v>
      </c>
      <c r="U20" s="9"/>
      <c r="V20" s="2"/>
    </row>
    <row r="21" spans="2:22" ht="15" thickBot="1">
      <c r="B21" s="8"/>
      <c r="C21" s="54">
        <v>1</v>
      </c>
      <c r="D21" s="35">
        <v>2</v>
      </c>
      <c r="E21" s="35">
        <v>3</v>
      </c>
      <c r="F21" s="35">
        <v>4</v>
      </c>
      <c r="G21" s="35">
        <v>5</v>
      </c>
      <c r="H21" s="35">
        <v>6</v>
      </c>
      <c r="I21" s="35">
        <v>7</v>
      </c>
      <c r="J21" s="35">
        <v>8</v>
      </c>
      <c r="K21" s="35">
        <v>9</v>
      </c>
      <c r="L21" s="35">
        <v>10</v>
      </c>
      <c r="M21" s="35">
        <v>11</v>
      </c>
      <c r="N21" s="35">
        <v>12</v>
      </c>
      <c r="O21" s="35">
        <v>13</v>
      </c>
      <c r="P21" s="35">
        <v>14</v>
      </c>
      <c r="Q21" s="35">
        <v>15</v>
      </c>
      <c r="R21" s="35">
        <v>16</v>
      </c>
      <c r="S21" s="35">
        <v>17</v>
      </c>
      <c r="T21" s="36">
        <v>18</v>
      </c>
      <c r="U21" s="9"/>
      <c r="V21" s="2"/>
    </row>
    <row r="22" spans="2:22">
      <c r="B22" s="8"/>
      <c r="C22" s="51">
        <v>1</v>
      </c>
      <c r="D22" s="19"/>
      <c r="E22" s="39" t="str">
        <f>IFERROR(VLOOKUP(D22,MasterData!$M$3:$S$1048576,2,0),"")</f>
        <v/>
      </c>
      <c r="F22" s="34"/>
      <c r="G22" s="34"/>
      <c r="H22" s="40" t="str">
        <f>IFERROR(VLOOKUP(D22,MasterData!$M$3:$R$1048576,3,0),"")</f>
        <v/>
      </c>
      <c r="I22" s="40">
        <f t="shared" ref="I22:I25" si="0">IFERROR(SUM(K22,N22,P22,R22,T22),"")</f>
        <v>0</v>
      </c>
      <c r="J22" s="20"/>
      <c r="K22" s="43" t="str">
        <f>IFERROR(F22*H22,"")</f>
        <v/>
      </c>
      <c r="L22" s="20"/>
      <c r="M22" s="40" t="str">
        <f>IFERROR(VLOOKUP(D22,MasterData!$M$3:$R$1048576,4,0),"")</f>
        <v/>
      </c>
      <c r="N22" s="40" t="str">
        <f t="shared" ref="N22:N25" si="1">IFERROR((K22*M22)/100,"")</f>
        <v/>
      </c>
      <c r="O22" s="40" t="str">
        <f>IFERROR(VLOOKUP(D22,MasterData!$M$3:$R$1048576,5,0),"")</f>
        <v/>
      </c>
      <c r="P22" s="40" t="str">
        <f>IFERROR(K22*O22/100,"")</f>
        <v/>
      </c>
      <c r="Q22" s="40" t="str">
        <f>IFERROR(VLOOKUP(D22,MasterData!$M$3:$R$1048576,6,0),"")</f>
        <v/>
      </c>
      <c r="R22" s="40" t="str">
        <f>IFERROR(K22*Q22/100,"")</f>
        <v/>
      </c>
      <c r="S22" s="40" t="str">
        <f>IFERROR(VLOOKUP(D22,MasterData!$M$3:$S$1048576,7,0),"")</f>
        <v/>
      </c>
      <c r="T22" s="44" t="str">
        <f>IFERROR(K22*S22/100,"")</f>
        <v/>
      </c>
      <c r="U22" s="9"/>
      <c r="V22" s="2"/>
    </row>
    <row r="23" spans="2:22">
      <c r="B23" s="8"/>
      <c r="C23" s="52">
        <v>2</v>
      </c>
      <c r="D23" s="19"/>
      <c r="E23" s="39" t="str">
        <f>IFERROR(VLOOKUP(D23,MasterData!$M$3:$S$1048576,2,0),"")</f>
        <v/>
      </c>
      <c r="F23" s="34"/>
      <c r="G23" s="34"/>
      <c r="H23" s="40" t="str">
        <f>IFERROR(VLOOKUP(D23,MasterData!$M$3:$S$1048576,3,0),"")</f>
        <v/>
      </c>
      <c r="I23" s="40">
        <f t="shared" si="0"/>
        <v>0</v>
      </c>
      <c r="J23" s="20"/>
      <c r="K23" s="43" t="str">
        <f t="shared" ref="K23:K25" si="2">IFERROR(F23*H23,"")</f>
        <v/>
      </c>
      <c r="L23" s="20"/>
      <c r="M23" s="40" t="str">
        <f>IFERROR(VLOOKUP(D23,MasterData!$M$3:$R$1048576,4,0),"")</f>
        <v/>
      </c>
      <c r="N23" s="40" t="str">
        <f t="shared" si="1"/>
        <v/>
      </c>
      <c r="O23" s="40" t="str">
        <f>IFERROR(VLOOKUP(D23,MasterData!$M$3:$R$1048576,5,0),"")</f>
        <v/>
      </c>
      <c r="P23" s="40" t="str">
        <f>IFERROR(K23*O23/100,"")</f>
        <v/>
      </c>
      <c r="Q23" s="40" t="str">
        <f>IFERROR(VLOOKUP(D23,MasterData!$M$3:$R$1048576,6,0),"")</f>
        <v/>
      </c>
      <c r="R23" s="40" t="str">
        <f>IFERROR(K23*Q23/100,"")</f>
        <v/>
      </c>
      <c r="S23" s="40" t="str">
        <f>IFERROR(VLOOKUP(D23,MasterData!$M$3:$S$1048576,7,0),"")</f>
        <v/>
      </c>
      <c r="T23" s="44" t="str">
        <f>IFERROR(K23*S23/100,"")</f>
        <v/>
      </c>
      <c r="U23" s="9"/>
      <c r="V23" s="2"/>
    </row>
    <row r="24" spans="2:22">
      <c r="B24" s="8"/>
      <c r="C24" s="52">
        <v>3</v>
      </c>
      <c r="D24" s="19"/>
      <c r="E24" s="39" t="str">
        <f>IFERROR(VLOOKUP(D24,MasterData!$M$3:$S$1048576,2,0),"")</f>
        <v/>
      </c>
      <c r="F24" s="34"/>
      <c r="G24" s="34"/>
      <c r="H24" s="40" t="str">
        <f>IFERROR(VLOOKUP(D24,MasterData!$M$3:$S$1048576,3,0),"")</f>
        <v/>
      </c>
      <c r="I24" s="40">
        <f t="shared" si="0"/>
        <v>0</v>
      </c>
      <c r="J24" s="20"/>
      <c r="K24" s="43" t="str">
        <f t="shared" si="2"/>
        <v/>
      </c>
      <c r="L24" s="20"/>
      <c r="M24" s="40" t="str">
        <f>IFERROR(VLOOKUP(D24,MasterData!$M$3:$R$1048576,4,0),"")</f>
        <v/>
      </c>
      <c r="N24" s="40" t="str">
        <f t="shared" si="1"/>
        <v/>
      </c>
      <c r="O24" s="40" t="str">
        <f>IFERROR(VLOOKUP(D24,MasterData!$M$3:$R$1048576,5,0),"")</f>
        <v/>
      </c>
      <c r="P24" s="40" t="str">
        <f>IFERROR(K24*O24/100,"")</f>
        <v/>
      </c>
      <c r="Q24" s="40" t="str">
        <f>IFERROR(VLOOKUP(D24,MasterData!$M$3:$R$1048576,6,0),"")</f>
        <v/>
      </c>
      <c r="R24" s="40" t="str">
        <f>IFERROR(K24*Q24/100,"")</f>
        <v/>
      </c>
      <c r="S24" s="40" t="str">
        <f>IFERROR(VLOOKUP(D24,MasterData!$M$3:$S$1048576,7,0),"")</f>
        <v/>
      </c>
      <c r="T24" s="44" t="str">
        <f>IFERROR(K24*S24/100,"")</f>
        <v/>
      </c>
      <c r="U24" s="9"/>
      <c r="V24" s="2"/>
    </row>
    <row r="25" spans="2:22">
      <c r="B25" s="8"/>
      <c r="C25" s="52">
        <v>4</v>
      </c>
      <c r="D25" s="19"/>
      <c r="E25" s="39" t="str">
        <f>IFERROR(VLOOKUP(D25,MasterData!$M$3:$S$1048576,2,0),"")</f>
        <v/>
      </c>
      <c r="F25" s="20"/>
      <c r="G25" s="34"/>
      <c r="H25" s="40" t="str">
        <f>IFERROR(VLOOKUP(D25,MasterData!$M$3:$S$1048576,3,0),"")</f>
        <v/>
      </c>
      <c r="I25" s="40">
        <f t="shared" si="0"/>
        <v>0</v>
      </c>
      <c r="J25" s="20"/>
      <c r="K25" s="43" t="str">
        <f t="shared" si="2"/>
        <v/>
      </c>
      <c r="L25" s="20"/>
      <c r="M25" s="40" t="str">
        <f>IFERROR(VLOOKUP(D25,MasterData!$M$3:$R$1048576,4,0),"")</f>
        <v/>
      </c>
      <c r="N25" s="40" t="str">
        <f t="shared" si="1"/>
        <v/>
      </c>
      <c r="O25" s="40" t="str">
        <f>IFERROR(VLOOKUP(D25,MasterData!$M$3:$R$1048576,5,0),"")</f>
        <v/>
      </c>
      <c r="P25" s="40" t="str">
        <f>IFERROR(K25*O25/100,"")</f>
        <v/>
      </c>
      <c r="Q25" s="40" t="str">
        <f>IFERROR(VLOOKUP(D25,MasterData!$M$3:$R$1048576,6,0),"")</f>
        <v/>
      </c>
      <c r="R25" s="40" t="str">
        <f>IFERROR(K25*Q25/100,"")</f>
        <v/>
      </c>
      <c r="S25" s="40" t="str">
        <f>IFERROR(VLOOKUP(D25,MasterData!$M$3:$S$1048576,7,0),"")</f>
        <v/>
      </c>
      <c r="T25" s="44" t="str">
        <f>IFERROR(K25*S25/100,"")</f>
        <v/>
      </c>
      <c r="U25" s="9"/>
      <c r="V25" s="2"/>
    </row>
    <row r="26" spans="2:22" ht="15" thickBot="1">
      <c r="B26" s="8"/>
      <c r="C26" s="53">
        <v>5</v>
      </c>
      <c r="D26" s="19"/>
      <c r="E26" s="39" t="str">
        <f>IFERROR(VLOOKUP(D26,MasterData!$M$3:$S$1048576,2,0),"")</f>
        <v/>
      </c>
      <c r="F26" s="20"/>
      <c r="G26" s="34"/>
      <c r="H26" s="40" t="str">
        <f>IFERROR(VLOOKUP(D26,MasterData!$M$3:$S$1048576,3,0),"")</f>
        <v/>
      </c>
      <c r="I26" s="40">
        <f>IFERROR(SUM(K26,N26,P26,R26,T26),"")</f>
        <v>0</v>
      </c>
      <c r="J26" s="20"/>
      <c r="K26" s="43" t="str">
        <f>IFERROR(F26*H26,"")</f>
        <v/>
      </c>
      <c r="L26" s="20"/>
      <c r="M26" s="40" t="str">
        <f>IFERROR(VLOOKUP(D26,MasterData!$M$3:$R$1048576,4,0),"")</f>
        <v/>
      </c>
      <c r="N26" s="40" t="str">
        <f>IFERROR((K26*M26)/100,"")</f>
        <v/>
      </c>
      <c r="O26" s="40" t="str">
        <f>IFERROR(VLOOKUP(D26,MasterData!$M$3:$R$1048576,5,0),"")</f>
        <v/>
      </c>
      <c r="P26" s="40" t="str">
        <f>IFERROR((K26*O26)/100,"")</f>
        <v/>
      </c>
      <c r="Q26" s="40" t="str">
        <f>IFERROR(VLOOKUP(D26,MasterData!$M$3:$R$1048576,6,0),"")</f>
        <v/>
      </c>
      <c r="R26" s="40" t="str">
        <f>IFERROR((K26*Q26)/100,"")</f>
        <v/>
      </c>
      <c r="S26" s="40" t="str">
        <f>IFERROR(VLOOKUP(D26,MasterData!$M$3:$S$1048576,7,0),"")</f>
        <v/>
      </c>
      <c r="T26" s="44" t="str">
        <f>IFERROR((K26*S26)/100,"")</f>
        <v/>
      </c>
      <c r="U26" s="9"/>
      <c r="V26" s="2"/>
    </row>
    <row r="27" spans="2:22" ht="15" thickBot="1">
      <c r="B27" s="8"/>
      <c r="C27" s="116" t="s">
        <v>32</v>
      </c>
      <c r="D27" s="117"/>
      <c r="E27" s="117"/>
      <c r="F27" s="118"/>
      <c r="G27" s="118"/>
      <c r="H27" s="118"/>
      <c r="I27" s="41">
        <f>SUM(I22:I25)</f>
        <v>0</v>
      </c>
      <c r="J27" s="38"/>
      <c r="K27" s="42">
        <f t="shared" ref="K27:T27" si="3">SUM(K22:K25)</f>
        <v>0</v>
      </c>
      <c r="L27" s="37">
        <f t="shared" si="3"/>
        <v>0</v>
      </c>
      <c r="M27" s="42">
        <f t="shared" si="3"/>
        <v>0</v>
      </c>
      <c r="N27" s="42">
        <f t="shared" si="3"/>
        <v>0</v>
      </c>
      <c r="O27" s="42">
        <f t="shared" si="3"/>
        <v>0</v>
      </c>
      <c r="P27" s="42">
        <f t="shared" si="3"/>
        <v>0</v>
      </c>
      <c r="Q27" s="42">
        <f t="shared" si="3"/>
        <v>0</v>
      </c>
      <c r="R27" s="42">
        <f t="shared" si="3"/>
        <v>0</v>
      </c>
      <c r="S27" s="42">
        <f t="shared" si="3"/>
        <v>0</v>
      </c>
      <c r="T27" s="42">
        <f t="shared" si="3"/>
        <v>0</v>
      </c>
      <c r="U27" s="9"/>
      <c r="V27" s="2"/>
    </row>
    <row r="28" spans="2:22">
      <c r="B28" s="8"/>
      <c r="C28" s="110" t="s">
        <v>91</v>
      </c>
      <c r="D28" s="111"/>
      <c r="E28" s="111"/>
      <c r="F28" s="111"/>
      <c r="G28" s="111"/>
      <c r="H28" s="111"/>
      <c r="I28" s="111"/>
      <c r="J28" s="111"/>
      <c r="K28" s="111"/>
      <c r="L28" s="23"/>
      <c r="M28" s="98">
        <f>IFERROR(SUM(K27,N27,P27,R27,T27),"0.00")</f>
        <v>0</v>
      </c>
      <c r="N28" s="98"/>
      <c r="O28" s="98"/>
      <c r="P28" s="98"/>
      <c r="Q28" s="98"/>
      <c r="R28" s="98"/>
      <c r="S28" s="98"/>
      <c r="T28" s="99"/>
      <c r="U28" s="9"/>
      <c r="V28" s="2"/>
    </row>
    <row r="29" spans="2:22">
      <c r="B29" s="8"/>
      <c r="C29" s="112" t="s">
        <v>57</v>
      </c>
      <c r="D29" s="113"/>
      <c r="E29" s="113"/>
      <c r="F29" s="113"/>
      <c r="G29" s="113"/>
      <c r="H29" s="113"/>
      <c r="I29" s="113"/>
      <c r="J29" s="113"/>
      <c r="K29" s="113"/>
      <c r="L29" s="24"/>
      <c r="M29" s="100"/>
      <c r="N29" s="100"/>
      <c r="O29" s="100"/>
      <c r="P29" s="100"/>
      <c r="Q29" s="100"/>
      <c r="R29" s="100"/>
      <c r="S29" s="100"/>
      <c r="T29" s="101"/>
      <c r="U29" s="9"/>
      <c r="V29" s="2"/>
    </row>
    <row r="30" spans="2:22" ht="17.25" customHeight="1" thickBot="1">
      <c r="B30" s="8"/>
      <c r="C30" s="114" t="s">
        <v>58</v>
      </c>
      <c r="D30" s="115"/>
      <c r="E30" s="115"/>
      <c r="F30" s="115"/>
      <c r="G30" s="115"/>
      <c r="H30" s="115"/>
      <c r="I30" s="115"/>
      <c r="J30" s="115"/>
      <c r="K30" s="115"/>
      <c r="L30" s="25"/>
      <c r="M30" s="96"/>
      <c r="N30" s="96"/>
      <c r="O30" s="96"/>
      <c r="P30" s="96"/>
      <c r="Q30" s="96"/>
      <c r="R30" s="96"/>
      <c r="S30" s="96"/>
      <c r="T30" s="97"/>
      <c r="U30" s="9"/>
      <c r="V30" s="2"/>
    </row>
    <row r="31" spans="2:22">
      <c r="B31" s="8"/>
      <c r="C31" s="5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7"/>
      <c r="U31" s="9"/>
      <c r="V31" s="2"/>
    </row>
    <row r="32" spans="2:22" ht="30" customHeight="1">
      <c r="B32" s="8"/>
      <c r="C32" s="8"/>
      <c r="D32" s="94" t="s">
        <v>52</v>
      </c>
      <c r="E32" s="94"/>
      <c r="F32" s="29"/>
      <c r="G32" s="29"/>
      <c r="H32" s="59"/>
      <c r="I32" s="59"/>
      <c r="J32" s="2"/>
      <c r="K32" s="2"/>
      <c r="L32" s="2"/>
      <c r="M32" s="108" t="s">
        <v>59</v>
      </c>
      <c r="N32" s="108"/>
      <c r="O32" s="109"/>
      <c r="P32" s="109"/>
      <c r="Q32" s="2"/>
      <c r="R32" s="2"/>
      <c r="S32" s="2"/>
      <c r="T32" s="9"/>
      <c r="U32" s="9"/>
      <c r="V32" s="2"/>
    </row>
    <row r="33" spans="2:22" ht="45.75" customHeight="1">
      <c r="B33" s="8"/>
      <c r="C33" s="8"/>
      <c r="D33" s="104" t="s">
        <v>62</v>
      </c>
      <c r="E33" s="104"/>
      <c r="F33" s="30">
        <f>G9</f>
        <v>1005</v>
      </c>
      <c r="G33" s="30"/>
      <c r="H33" s="59"/>
      <c r="I33" s="59"/>
      <c r="J33" s="2"/>
      <c r="K33" s="2"/>
      <c r="L33" s="2"/>
      <c r="M33" s="108" t="s">
        <v>60</v>
      </c>
      <c r="N33" s="108"/>
      <c r="O33" s="109"/>
      <c r="P33" s="109"/>
      <c r="Q33" s="2"/>
      <c r="R33" s="2"/>
      <c r="S33" s="2"/>
      <c r="T33" s="9"/>
      <c r="U33" s="9"/>
      <c r="V33" s="2"/>
    </row>
    <row r="34" spans="2:22">
      <c r="B34" s="8"/>
      <c r="C34" s="8"/>
      <c r="D34" s="94" t="s">
        <v>63</v>
      </c>
      <c r="E34" s="94"/>
      <c r="F34" s="55">
        <f ca="1">NOW()</f>
        <v>42823.578052083336</v>
      </c>
      <c r="G34" s="29"/>
      <c r="H34" s="59"/>
      <c r="I34" s="59"/>
      <c r="J34" s="2"/>
      <c r="K34" s="2"/>
      <c r="L34" s="2"/>
      <c r="M34" s="2"/>
      <c r="N34" s="21"/>
      <c r="O34" s="21"/>
      <c r="P34" s="2" t="s">
        <v>79</v>
      </c>
      <c r="Q34" s="2"/>
      <c r="R34" s="2"/>
      <c r="S34" s="2"/>
      <c r="T34" s="9"/>
      <c r="U34" s="9"/>
      <c r="V34" s="2"/>
    </row>
    <row r="35" spans="2:22" ht="15" thickBot="1">
      <c r="B35" s="8"/>
      <c r="C35" s="10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2"/>
      <c r="U35" s="9"/>
      <c r="V35" s="2"/>
    </row>
    <row r="36" spans="2:22" ht="26.25" customHeight="1" thickBot="1">
      <c r="B36" s="10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2"/>
      <c r="V36" s="2"/>
    </row>
    <row r="37" spans="2:22">
      <c r="V37" s="2"/>
    </row>
  </sheetData>
  <sheetProtection selectLockedCells="1"/>
  <mergeCells count="67">
    <mergeCell ref="B2:D2"/>
    <mergeCell ref="E2:G2"/>
    <mergeCell ref="M32:N32"/>
    <mergeCell ref="M33:N33"/>
    <mergeCell ref="O32:P32"/>
    <mergeCell ref="O33:P33"/>
    <mergeCell ref="C28:K28"/>
    <mergeCell ref="C29:K29"/>
    <mergeCell ref="C30:K30"/>
    <mergeCell ref="D32:E32"/>
    <mergeCell ref="M30:N30"/>
    <mergeCell ref="O30:P30"/>
    <mergeCell ref="L19:L20"/>
    <mergeCell ref="C27:H27"/>
    <mergeCell ref="C7:E7"/>
    <mergeCell ref="C6:E6"/>
    <mergeCell ref="D34:E34"/>
    <mergeCell ref="D33:E33"/>
    <mergeCell ref="H32:I32"/>
    <mergeCell ref="H33:I33"/>
    <mergeCell ref="H34:I34"/>
    <mergeCell ref="Q30:R30"/>
    <mergeCell ref="S30:T30"/>
    <mergeCell ref="M28:T28"/>
    <mergeCell ref="M29:T29"/>
    <mergeCell ref="Q14:T14"/>
    <mergeCell ref="Q15:T15"/>
    <mergeCell ref="Q16:T16"/>
    <mergeCell ref="Q17:T17"/>
    <mergeCell ref="N16:P16"/>
    <mergeCell ref="N17:P17"/>
    <mergeCell ref="Q19:R19"/>
    <mergeCell ref="S19:T19"/>
    <mergeCell ref="C8:E8"/>
    <mergeCell ref="C9:E9"/>
    <mergeCell ref="C10:E10"/>
    <mergeCell ref="C13:E13"/>
    <mergeCell ref="C14:E14"/>
    <mergeCell ref="C15:E15"/>
    <mergeCell ref="C16:E16"/>
    <mergeCell ref="C17:E17"/>
    <mergeCell ref="F19:F20"/>
    <mergeCell ref="G19:G20"/>
    <mergeCell ref="G6:J6"/>
    <mergeCell ref="G7:J7"/>
    <mergeCell ref="G8:J8"/>
    <mergeCell ref="B4:U4"/>
    <mergeCell ref="I19:I20"/>
    <mergeCell ref="K19:K20"/>
    <mergeCell ref="J19:J20"/>
    <mergeCell ref="C19:C20"/>
    <mergeCell ref="D19:D20"/>
    <mergeCell ref="E19:E20"/>
    <mergeCell ref="H19:H20"/>
    <mergeCell ref="M19:N19"/>
    <mergeCell ref="O19:P19"/>
    <mergeCell ref="N13:P13"/>
    <mergeCell ref="N14:P14"/>
    <mergeCell ref="N15:P15"/>
    <mergeCell ref="Q13:T13"/>
    <mergeCell ref="G16:J16"/>
    <mergeCell ref="G17:J17"/>
    <mergeCell ref="G9:J9"/>
    <mergeCell ref="G10:J10"/>
    <mergeCell ref="G13:J13"/>
    <mergeCell ref="G14:J14"/>
    <mergeCell ref="G15:J15"/>
  </mergeCells>
  <dataValidations count="6">
    <dataValidation type="list" allowBlank="1" showInputMessage="1" showErrorMessage="1" sqref="E2">
      <formula1>"B2B,B2BA,B2C (Large),B2CA (Large),B2C (Other),B2CA (Other),Cr/Dr Notes,Cr/Dr  A Notes,Export,Export A,Nil Rate,"</formula1>
    </dataValidation>
    <dataValidation type="list" allowBlank="1" showInputMessage="1" showErrorMessage="1" sqref="Q11">
      <formula1>"Sanjay,Saurabh,Rakesh,,,"</formula1>
    </dataValidation>
    <dataValidation type="list" allowBlank="1" showInputMessage="1" showErrorMessage="1" sqref="G4">
      <formula1>"Sagar,Nishi,Rajesh,Sandeep,,,,"</formula1>
    </dataValidation>
    <dataValidation type="list" allowBlank="1" showInputMessage="1" showErrorMessage="1" sqref="G6">
      <formula1>"Sagar &amp; Co,Nishi Traders,Rajesh Transport,Sandeep oil traders,Siddesh And Co,,,,"</formula1>
    </dataValidation>
    <dataValidation type="list" allowBlank="1" showInputMessage="1" showErrorMessage="1" sqref="D22:D26">
      <formula1>"Bike,Cycle,Car,Tyre,Laptop,ToothPaste,,,,"</formula1>
    </dataValidation>
    <dataValidation type="list" allowBlank="1" showInputMessage="1" showErrorMessage="1" sqref="G13 Q13">
      <formula1>"Sanjay &amp; Co,Saurabh Traders,Rakesh Corp,ABC corp,GSTN,,,"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7"/>
  <sheetViews>
    <sheetView showGridLines="0" showRowColHeaders="0" workbookViewId="0">
      <selection activeCell="K16" sqref="K16"/>
    </sheetView>
  </sheetViews>
  <sheetFormatPr defaultColWidth="8.7265625" defaultRowHeight="14.5"/>
  <cols>
    <col min="1" max="1" width="16.453125" style="2" bestFit="1" customWidth="1"/>
    <col min="2" max="2" width="3.90625" style="2" bestFit="1" customWidth="1"/>
    <col min="3" max="3" width="14.08984375" style="2" bestFit="1" customWidth="1"/>
    <col min="4" max="4" width="14.54296875" style="56" bestFit="1" customWidth="1"/>
    <col min="5" max="5" width="16.7265625" style="2" bestFit="1" customWidth="1"/>
    <col min="6" max="6" width="10.81640625" style="2" bestFit="1" customWidth="1"/>
    <col min="7" max="7" width="4.1796875" style="2" bestFit="1" customWidth="1"/>
    <col min="8" max="8" width="13.7265625" style="2" bestFit="1" customWidth="1"/>
    <col min="9" max="9" width="8.7265625" style="2" bestFit="1" customWidth="1"/>
    <col min="10" max="10" width="10.1796875" style="2" bestFit="1" customWidth="1"/>
    <col min="11" max="11" width="16.54296875" style="2" bestFit="1" customWidth="1"/>
    <col min="12" max="12" width="17.36328125" style="2" bestFit="1" customWidth="1"/>
    <col min="13" max="13" width="8.81640625" style="2" bestFit="1" customWidth="1"/>
    <col min="14" max="14" width="11.81640625" style="2" bestFit="1" customWidth="1"/>
    <col min="15" max="15" width="9.36328125" style="2" bestFit="1" customWidth="1"/>
    <col min="16" max="16" width="12.36328125" style="2" bestFit="1" customWidth="1"/>
    <col min="17" max="17" width="9.1796875" style="2" bestFit="1" customWidth="1"/>
    <col min="18" max="18" width="12.1796875" style="2" bestFit="1" customWidth="1"/>
    <col min="19" max="19" width="9" style="2" bestFit="1" customWidth="1"/>
    <col min="20" max="20" width="12" style="2" bestFit="1" customWidth="1"/>
    <col min="21" max="21" width="3.81640625" style="2" bestFit="1" customWidth="1"/>
    <col min="22" max="22" width="4.36328125" style="2" bestFit="1" customWidth="1"/>
    <col min="23" max="23" width="8.1796875" style="2" bestFit="1" customWidth="1"/>
    <col min="24" max="24" width="8.7265625" style="2"/>
    <col min="25" max="25" width="13.81640625" style="2" bestFit="1" customWidth="1"/>
    <col min="26" max="26" width="14.6328125" style="2" bestFit="1" customWidth="1"/>
    <col min="27" max="27" width="14.81640625" style="2" bestFit="1" customWidth="1"/>
    <col min="28" max="28" width="17.90625" style="2" bestFit="1" customWidth="1"/>
    <col min="29" max="29" width="25.453125" style="2" bestFit="1" customWidth="1"/>
    <col min="30" max="30" width="20.1796875" style="2" bestFit="1" customWidth="1"/>
    <col min="31" max="31" width="18" style="2" bestFit="1" customWidth="1"/>
    <col min="32" max="32" width="13.54296875" style="56" bestFit="1" customWidth="1"/>
    <col min="33" max="33" width="10.90625" style="2" bestFit="1" customWidth="1"/>
    <col min="34" max="16384" width="8.7265625" style="2"/>
  </cols>
  <sheetData>
    <row r="1" spans="1:33">
      <c r="A1" s="59" t="s">
        <v>127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Y1" s="59" t="s">
        <v>89</v>
      </c>
      <c r="Z1" s="59"/>
      <c r="AA1" s="59"/>
      <c r="AB1" s="59"/>
      <c r="AC1" s="59"/>
      <c r="AD1" s="59"/>
      <c r="AE1" s="59"/>
      <c r="AF1" s="59"/>
      <c r="AG1" s="59"/>
    </row>
    <row r="2" spans="1:33" s="14" customFormat="1" ht="15" customHeight="1">
      <c r="A2" s="48" t="s">
        <v>0</v>
      </c>
      <c r="B2" s="48" t="s">
        <v>9</v>
      </c>
      <c r="C2" s="48" t="s">
        <v>10</v>
      </c>
      <c r="D2" s="57" t="s">
        <v>11</v>
      </c>
      <c r="E2" s="48" t="s">
        <v>12</v>
      </c>
      <c r="F2" s="48" t="s">
        <v>13</v>
      </c>
      <c r="G2" s="48" t="s">
        <v>14</v>
      </c>
      <c r="H2" s="48" t="s">
        <v>15</v>
      </c>
      <c r="I2" s="48" t="s">
        <v>16</v>
      </c>
      <c r="J2" s="48" t="s">
        <v>17</v>
      </c>
      <c r="K2" s="48" t="s">
        <v>18</v>
      </c>
      <c r="L2" s="48" t="s">
        <v>19</v>
      </c>
      <c r="M2" s="48" t="s">
        <v>20</v>
      </c>
      <c r="N2" s="48" t="s">
        <v>21</v>
      </c>
      <c r="O2" s="49" t="s">
        <v>24</v>
      </c>
      <c r="P2" s="49" t="s">
        <v>25</v>
      </c>
      <c r="Q2" s="49" t="s">
        <v>26</v>
      </c>
      <c r="R2" s="49" t="s">
        <v>27</v>
      </c>
      <c r="S2" s="48" t="s">
        <v>22</v>
      </c>
      <c r="T2" s="48" t="s">
        <v>23</v>
      </c>
      <c r="U2" s="49" t="s">
        <v>73</v>
      </c>
      <c r="V2" s="49" t="s">
        <v>74</v>
      </c>
      <c r="W2" s="49" t="s">
        <v>51</v>
      </c>
      <c r="Y2" s="49" t="s">
        <v>84</v>
      </c>
      <c r="Z2" s="49" t="s">
        <v>85</v>
      </c>
      <c r="AA2" s="49" t="s">
        <v>86</v>
      </c>
      <c r="AB2" s="49" t="s">
        <v>87</v>
      </c>
      <c r="AC2" s="49" t="s">
        <v>88</v>
      </c>
      <c r="AD2" s="49" t="s">
        <v>59</v>
      </c>
      <c r="AE2" s="49" t="s">
        <v>60</v>
      </c>
      <c r="AF2" s="58" t="s">
        <v>63</v>
      </c>
      <c r="AG2" s="49" t="s">
        <v>90</v>
      </c>
    </row>
    <row r="3" spans="1:33">
      <c r="A3" s="2" t="s">
        <v>122</v>
      </c>
      <c r="C3" s="2">
        <v>1001</v>
      </c>
      <c r="D3" s="56">
        <v>42802</v>
      </c>
      <c r="E3" s="2">
        <v>840000</v>
      </c>
      <c r="J3" s="2" t="s">
        <v>70</v>
      </c>
      <c r="K3" s="2">
        <v>3465</v>
      </c>
      <c r="L3" s="2">
        <v>600000</v>
      </c>
      <c r="M3" s="2">
        <v>3</v>
      </c>
      <c r="N3" s="2">
        <v>18000</v>
      </c>
      <c r="O3" s="2">
        <v>3</v>
      </c>
      <c r="P3" s="2">
        <v>18000</v>
      </c>
      <c r="Q3" s="2">
        <v>3</v>
      </c>
      <c r="R3" s="2">
        <v>18000</v>
      </c>
      <c r="S3" s="2">
        <v>3</v>
      </c>
      <c r="T3" s="2">
        <v>18000</v>
      </c>
      <c r="U3" s="2">
        <v>2</v>
      </c>
      <c r="Y3" s="2" t="s">
        <v>105</v>
      </c>
      <c r="Z3" s="2" t="s">
        <v>107</v>
      </c>
      <c r="AA3" s="2" t="s">
        <v>107</v>
      </c>
      <c r="AB3" s="2">
        <v>1001</v>
      </c>
      <c r="AC3" s="2">
        <v>1001</v>
      </c>
      <c r="AF3" s="56">
        <v>42802.61310185185</v>
      </c>
      <c r="AG3" s="2" t="s">
        <v>95</v>
      </c>
    </row>
    <row r="4" spans="1:33">
      <c r="A4" s="2" t="s">
        <v>122</v>
      </c>
      <c r="C4" s="2">
        <v>1001</v>
      </c>
      <c r="D4" s="56">
        <v>42802</v>
      </c>
      <c r="E4" s="2">
        <v>840000</v>
      </c>
      <c r="J4" s="2" t="s">
        <v>76</v>
      </c>
      <c r="K4" s="2">
        <v>3465</v>
      </c>
      <c r="L4" s="2">
        <v>150000</v>
      </c>
      <c r="M4" s="2">
        <v>3</v>
      </c>
      <c r="N4" s="2">
        <v>4500</v>
      </c>
      <c r="O4" s="2">
        <v>3</v>
      </c>
      <c r="P4" s="2">
        <v>4500</v>
      </c>
      <c r="Q4" s="2">
        <v>3</v>
      </c>
      <c r="R4" s="2">
        <v>4500</v>
      </c>
      <c r="S4" s="2">
        <v>3</v>
      </c>
      <c r="T4" s="2">
        <v>4500</v>
      </c>
      <c r="U4" s="2">
        <v>5</v>
      </c>
      <c r="Y4" s="2" t="s">
        <v>117</v>
      </c>
      <c r="Z4" s="2" t="s">
        <v>107</v>
      </c>
      <c r="AA4" s="2" t="s">
        <v>107</v>
      </c>
      <c r="AB4" s="2">
        <v>1003</v>
      </c>
      <c r="AC4" s="2">
        <v>1004</v>
      </c>
      <c r="AF4" s="56">
        <v>42814.703368055554</v>
      </c>
      <c r="AG4" s="2" t="s">
        <v>95</v>
      </c>
    </row>
    <row r="5" spans="1:33">
      <c r="A5" s="2" t="s">
        <v>110</v>
      </c>
      <c r="C5" s="2">
        <v>1003</v>
      </c>
      <c r="D5" s="56">
        <v>42814.703368055554</v>
      </c>
      <c r="E5" s="2">
        <v>374400</v>
      </c>
      <c r="J5" s="2" t="s">
        <v>75</v>
      </c>
      <c r="K5" s="2">
        <v>1287</v>
      </c>
      <c r="L5" s="2">
        <v>200000</v>
      </c>
      <c r="M5" s="2">
        <v>5</v>
      </c>
      <c r="N5" s="2">
        <v>10000</v>
      </c>
      <c r="O5" s="2">
        <v>5</v>
      </c>
      <c r="P5" s="2">
        <v>10000</v>
      </c>
      <c r="Q5" s="2">
        <v>5</v>
      </c>
      <c r="R5" s="2">
        <v>10000</v>
      </c>
      <c r="S5" s="2">
        <v>5</v>
      </c>
      <c r="T5" s="2">
        <v>10000</v>
      </c>
      <c r="U5" s="2">
        <v>4</v>
      </c>
      <c r="Y5" s="2" t="s">
        <v>117</v>
      </c>
      <c r="Z5" s="2" t="s">
        <v>107</v>
      </c>
      <c r="AA5" s="2" t="s">
        <v>107</v>
      </c>
      <c r="AB5" s="2">
        <v>1004</v>
      </c>
      <c r="AC5" s="2">
        <v>1005</v>
      </c>
      <c r="AF5" s="56">
        <v>42817.628761574073</v>
      </c>
      <c r="AG5" s="2" t="s">
        <v>95</v>
      </c>
    </row>
    <row r="6" spans="1:33">
      <c r="A6" s="2" t="s">
        <v>110</v>
      </c>
      <c r="C6" s="2">
        <v>1003</v>
      </c>
      <c r="D6" s="56">
        <v>42814.703368055554</v>
      </c>
      <c r="E6" s="2">
        <v>374400</v>
      </c>
      <c r="J6" s="2" t="s">
        <v>76</v>
      </c>
      <c r="K6" s="2">
        <v>3465</v>
      </c>
      <c r="L6" s="2">
        <v>120000</v>
      </c>
      <c r="M6" s="2">
        <v>3</v>
      </c>
      <c r="N6" s="2">
        <v>3600</v>
      </c>
      <c r="O6" s="2">
        <v>3</v>
      </c>
      <c r="P6" s="2">
        <v>3600</v>
      </c>
      <c r="Q6" s="2">
        <v>3</v>
      </c>
      <c r="R6" s="2">
        <v>3600</v>
      </c>
      <c r="S6" s="2">
        <v>3</v>
      </c>
      <c r="T6" s="2">
        <v>3600</v>
      </c>
      <c r="U6" s="2">
        <v>4</v>
      </c>
    </row>
    <row r="7" spans="1:33">
      <c r="A7" s="2" t="s">
        <v>110</v>
      </c>
      <c r="C7" s="2">
        <v>1004</v>
      </c>
      <c r="D7" s="56">
        <v>42817.628761574073</v>
      </c>
      <c r="E7" s="2">
        <v>300000</v>
      </c>
      <c r="J7" s="2" t="s">
        <v>75</v>
      </c>
      <c r="K7" s="2">
        <v>1287</v>
      </c>
      <c r="L7" s="2">
        <v>250000</v>
      </c>
      <c r="M7" s="2">
        <v>5</v>
      </c>
      <c r="N7" s="2">
        <v>12500</v>
      </c>
      <c r="O7" s="2">
        <v>5</v>
      </c>
      <c r="P7" s="2">
        <v>12500</v>
      </c>
      <c r="Q7" s="2">
        <v>5</v>
      </c>
      <c r="R7" s="2">
        <v>12500</v>
      </c>
      <c r="S7" s="2">
        <v>5</v>
      </c>
      <c r="T7" s="2">
        <v>12500</v>
      </c>
      <c r="U7" s="2">
        <v>5</v>
      </c>
    </row>
  </sheetData>
  <mergeCells count="2">
    <mergeCell ref="Y1:AG1"/>
    <mergeCell ref="A1:W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E5"/>
  <sheetViews>
    <sheetView workbookViewId="0">
      <selection activeCell="I21" sqref="I21"/>
    </sheetView>
  </sheetViews>
  <sheetFormatPr defaultRowHeight="14.5"/>
  <sheetData>
    <row r="3" spans="1:5">
      <c r="A3" s="119" t="s">
        <v>53</v>
      </c>
      <c r="B3" s="120"/>
      <c r="C3" s="121"/>
      <c r="D3" s="122"/>
      <c r="E3" s="123"/>
    </row>
    <row r="4" spans="1:5">
      <c r="A4" s="112" t="s">
        <v>54</v>
      </c>
      <c r="B4" s="124"/>
      <c r="C4" s="125"/>
      <c r="D4" s="126"/>
      <c r="E4" s="127"/>
    </row>
    <row r="5" spans="1:5" ht="15" thickBot="1">
      <c r="A5" s="114" t="s">
        <v>55</v>
      </c>
      <c r="B5" s="128"/>
      <c r="C5" s="129"/>
      <c r="D5" s="130"/>
      <c r="E5" s="131"/>
    </row>
  </sheetData>
  <mergeCells count="6">
    <mergeCell ref="A3:B3"/>
    <mergeCell ref="C3:E3"/>
    <mergeCell ref="A4:B4"/>
    <mergeCell ref="C4:E4"/>
    <mergeCell ref="A5:B5"/>
    <mergeCell ref="C5:E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MasterData</vt:lpstr>
      <vt:lpstr>MasterSheet</vt:lpstr>
      <vt:lpstr>Dashboard</vt:lpstr>
      <vt:lpstr>Invoice</vt:lpstr>
      <vt:lpstr>GSTR1</vt:lpstr>
      <vt:lpstr>Ruoghwork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ytdcc</dc:creator>
  <cp:lastModifiedBy>Nirmal Kumar</cp:lastModifiedBy>
  <dcterms:created xsi:type="dcterms:W3CDTF">2017-03-01T05:29:11Z</dcterms:created>
  <dcterms:modified xsi:type="dcterms:W3CDTF">2017-03-29T08:22:25Z</dcterms:modified>
</cp:coreProperties>
</file>